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Unity\Trackers\Assets\Data\"/>
    </mc:Choice>
  </mc:AlternateContent>
  <xr:revisionPtr revIDLastSave="0" documentId="13_ncr:1_{F1C7CF4E-1EF2-4FD6-AD47-DB509BF07ED2}" xr6:coauthVersionLast="47" xr6:coauthVersionMax="47" xr10:uidLastSave="{00000000-0000-0000-0000-000000000000}"/>
  <bookViews>
    <workbookView xWindow="490" yWindow="0" windowWidth="25110" windowHeight="13660" activeTab="1" xr2:uid="{4629D303-B139-4CCE-87AA-55A4469D92E3}"/>
  </bookViews>
  <sheets>
    <sheet name="goodDataAnalysis" sheetId="1" r:id="rId1"/>
    <sheet name="FirstFinalOff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C30" i="2"/>
  <c r="D30" i="2"/>
  <c r="E30" i="2"/>
  <c r="F30" i="2"/>
  <c r="G30" i="2"/>
  <c r="B30" i="2"/>
  <c r="H25" i="2"/>
  <c r="J25" i="2" s="1"/>
  <c r="E25" i="2"/>
  <c r="H24" i="2"/>
  <c r="G24" i="2"/>
  <c r="F24" i="2"/>
  <c r="J24" i="2" s="1"/>
  <c r="E24" i="2"/>
  <c r="H23" i="2"/>
  <c r="G23" i="2"/>
  <c r="J23" i="2" s="1"/>
  <c r="E23" i="2"/>
  <c r="F22" i="2"/>
  <c r="J22" i="2" s="1"/>
  <c r="E22" i="2"/>
  <c r="G21" i="2"/>
  <c r="F21" i="2"/>
  <c r="J21" i="2" s="1"/>
  <c r="E21" i="2"/>
  <c r="F18" i="2"/>
  <c r="G18" i="2"/>
  <c r="E7" i="2" l="1"/>
  <c r="I7" i="2"/>
  <c r="M7" i="2"/>
  <c r="P7" i="2"/>
  <c r="Q7" i="2"/>
  <c r="U7" i="2"/>
  <c r="X7" i="2"/>
  <c r="Y7" i="2"/>
  <c r="G14" i="2"/>
  <c r="G15" i="2"/>
  <c r="G16" i="2"/>
  <c r="G17" i="2"/>
  <c r="F15" i="2"/>
  <c r="F16" i="2"/>
  <c r="F17" i="2"/>
  <c r="F14" i="2"/>
  <c r="N4" i="2"/>
  <c r="N3" i="2"/>
  <c r="O6" i="2"/>
  <c r="Q6" i="2" s="1"/>
  <c r="O5" i="2"/>
  <c r="P5" i="2"/>
  <c r="P4" i="2"/>
  <c r="P3" i="2"/>
  <c r="X6" i="2"/>
  <c r="W6" i="2"/>
  <c r="V6" i="2"/>
  <c r="V4" i="2"/>
  <c r="Y4" i="2" s="1"/>
  <c r="V5" i="2"/>
  <c r="W5" i="2"/>
  <c r="X5" i="2"/>
  <c r="Y5" i="2" s="1"/>
  <c r="W3" i="2"/>
  <c r="Y3" i="2" s="1"/>
  <c r="G3" i="2"/>
  <c r="H4" i="2"/>
  <c r="G4" i="2"/>
  <c r="I4" i="2" s="1"/>
  <c r="H5" i="2"/>
  <c r="G5" i="2"/>
  <c r="F5" i="2"/>
  <c r="H6" i="2"/>
  <c r="G6" i="2"/>
  <c r="F6" i="2"/>
  <c r="I6" i="2"/>
  <c r="F3" i="2"/>
  <c r="U6" i="2"/>
  <c r="U5" i="2"/>
  <c r="U4" i="2"/>
  <c r="U3" i="2"/>
  <c r="M6" i="2"/>
  <c r="M5" i="2"/>
  <c r="M4" i="2"/>
  <c r="M3" i="2"/>
  <c r="E6" i="2"/>
  <c r="E5" i="2"/>
  <c r="E4" i="2"/>
  <c r="E3" i="2"/>
  <c r="Q3" i="2" l="1"/>
  <c r="Q5" i="2"/>
  <c r="I3" i="2"/>
  <c r="Q4" i="2"/>
  <c r="I5" i="2"/>
  <c r="Y6" i="2"/>
</calcChain>
</file>

<file path=xl/sharedStrings.xml><?xml version="1.0" encoding="utf-8"?>
<sst xmlns="http://schemas.openxmlformats.org/spreadsheetml/2006/main" count="415" uniqueCount="133">
  <si>
    <t>localPosition</t>
  </si>
  <si>
    <t>localEuler</t>
  </si>
  <si>
    <t>localQuaternionQuaternion(0.0007</t>
  </si>
  <si>
    <t>globalPosition</t>
  </si>
  <si>
    <t>globalQuaternion</t>
  </si>
  <si>
    <t>Quaternion(0.0007</t>
  </si>
  <si>
    <t>localQuaternionQuaternion(-0.0003</t>
  </si>
  <si>
    <t>Quaternion(-0.0003</t>
  </si>
  <si>
    <t>Quaternion(-0.0001</t>
  </si>
  <si>
    <t>localQuaternionQuaternion(0.0000</t>
  </si>
  <si>
    <t>Quaternion(0.0000</t>
  </si>
  <si>
    <t>localQuaternionQuaternion(0.0006</t>
  </si>
  <si>
    <t>Quaternion(0.0002</t>
  </si>
  <si>
    <t>localQuaternionQuaternion(0.0001</t>
  </si>
  <si>
    <t>Quaternion(0.0001</t>
  </si>
  <si>
    <t>localQuaternionQuaternion(0.0254</t>
  </si>
  <si>
    <t>Quaternion(-0.0056</t>
  </si>
  <si>
    <t>localQuaternionQuaternion(0.0019</t>
  </si>
  <si>
    <t>Quaternion(0.0010</t>
  </si>
  <si>
    <t>localQuaternionQuaternion(-0.0001</t>
  </si>
  <si>
    <t>localQuaternionQuaternion(0.0289</t>
  </si>
  <si>
    <t>Quaternion(-0.0060</t>
  </si>
  <si>
    <t>localQuaternionQuaternion(-0.0055</t>
  </si>
  <si>
    <t>Quaternion(0.0014</t>
  </si>
  <si>
    <t>localQuaternionQuaternion(0.0004</t>
  </si>
  <si>
    <t>Quaternion(0.0004</t>
  </si>
  <si>
    <t>localQuaternionQuaternion(0.0271</t>
  </si>
  <si>
    <t>Quaternion(-0.0036</t>
  </si>
  <si>
    <t>localQuaternionQuaternion(-0.0064</t>
  </si>
  <si>
    <t>Quaternion(0.0027</t>
  </si>
  <si>
    <t>localQuaternionQuaternion(0.0013</t>
  </si>
  <si>
    <t>Quaternion(0.0013</t>
  </si>
  <si>
    <t>localQuaternionQuaternion(0.0138</t>
  </si>
  <si>
    <t>Quaternion(-0.0146</t>
  </si>
  <si>
    <t>localQuaternionQuaternion(0.0035</t>
  </si>
  <si>
    <t>Quaternion(-0.0007</t>
  </si>
  <si>
    <t>localQuaternionQuaternion(-0.0225</t>
  </si>
  <si>
    <t>Quaternion(-0.1082</t>
  </si>
  <si>
    <t>localQuaternionQuaternion(0.0009</t>
  </si>
  <si>
    <t>Quaternion(0.0009</t>
  </si>
  <si>
    <t>localQuaternionQuaternion(0.0303</t>
  </si>
  <si>
    <t>Quaternion(0.0005</t>
  </si>
  <si>
    <t>localQuaternionQuaternion(-0.0031</t>
  </si>
  <si>
    <t>Quaternion(-0.0127</t>
  </si>
  <si>
    <t>localQuaternionQuaternion(-0.0104</t>
  </si>
  <si>
    <t>Quaternion(0.0003</t>
  </si>
  <si>
    <t>Quaternion(-0.0075</t>
  </si>
  <si>
    <t>localQuaternionQuaternion(0.0306</t>
  </si>
  <si>
    <t>Quaternion(-0.0012</t>
  </si>
  <si>
    <t>localQuaternionQuaternion(-0.0308</t>
  </si>
  <si>
    <t>localQuaternionQuaternion(-0.0005</t>
  </si>
  <si>
    <t>Quaternion(0.0006</t>
  </si>
  <si>
    <t>localQuaternionQuaternion(0.0318</t>
  </si>
  <si>
    <t>Quaternion(-0.0037</t>
  </si>
  <si>
    <t>localQuaternionQuaternion(-0.0298</t>
  </si>
  <si>
    <t>localQuaternionQuaternion(0.0002</t>
  </si>
  <si>
    <t>Quaternion(-0.0030</t>
  </si>
  <si>
    <t>localQuaternionQuaternion(-0.0011</t>
  </si>
  <si>
    <t>Quaternion(-0.0011</t>
  </si>
  <si>
    <t>localQuaternionQuaternion(0.0293</t>
  </si>
  <si>
    <t>Quaternion(-0.0039</t>
  </si>
  <si>
    <t>localQuaternionQuaternion(-0.0029</t>
  </si>
  <si>
    <t>Quaternion(-0.0217</t>
  </si>
  <si>
    <t>localQuaternionQuaternion(0.0003</t>
  </si>
  <si>
    <t>Quaternion(-0.0021</t>
  </si>
  <si>
    <t>localQuaternionQuaternion(0.0022</t>
  </si>
  <si>
    <t>Quaternion(0.0030</t>
  </si>
  <si>
    <t>localQuaternionQuaternion(0.0028</t>
  </si>
  <si>
    <t>Quaternion(0.0028</t>
  </si>
  <si>
    <t>localQuaternionQuaternion(0.0343</t>
  </si>
  <si>
    <t>Quaternion(-0.0013</t>
  </si>
  <si>
    <t>localQuaternionQuaternion(0.0010</t>
  </si>
  <si>
    <t>Quaternion(-0.0200</t>
  </si>
  <si>
    <t>Quaternion(-0.0019</t>
  </si>
  <si>
    <t>Quaternion(-0.0009</t>
  </si>
  <si>
    <t>localQuaternionQuaternion(-0.0573</t>
  </si>
  <si>
    <t>Quaternion(-0.0573</t>
  </si>
  <si>
    <t>localQuaternionQuaternion(0.0335</t>
  </si>
  <si>
    <t>Quaternion(-0.0806</t>
  </si>
  <si>
    <t>localQuaternionQuaternion(-0.0166</t>
  </si>
  <si>
    <t>Quaternion(-0.0683</t>
  </si>
  <si>
    <t>Quaternion(-0.0865</t>
  </si>
  <si>
    <t>localQuaternionQuaternion(-0.0771</t>
  </si>
  <si>
    <t>Quaternion(-0.0006</t>
  </si>
  <si>
    <t>localQuaternionQuaternion(0.0285</t>
  </si>
  <si>
    <t>Quaternion(-0.0540</t>
  </si>
  <si>
    <t>localQuaternionQuaternion(0.0050</t>
  </si>
  <si>
    <t>Quaternion(0.0050</t>
  </si>
  <si>
    <t>localQuaternionQuaternion(0.0329</t>
  </si>
  <si>
    <t>localQuaternionQuaternion(0.0577</t>
  </si>
  <si>
    <t>Quaternion(-0.0465</t>
  </si>
  <si>
    <t>localQuaternionQuaternion(0.0056</t>
  </si>
  <si>
    <t>Quaternion(-0.0098</t>
  </si>
  <si>
    <t>localQuaternionQuaternion(-0.0745</t>
  </si>
  <si>
    <t>Quaternion(0.0733</t>
  </si>
  <si>
    <t>Quaternion(-0.0015</t>
  </si>
  <si>
    <t>localQuaternionQuaternion(0.0063</t>
  </si>
  <si>
    <t>Quaternion(0.0063</t>
  </si>
  <si>
    <t>localQuaternionQuaternion(0.0334</t>
  </si>
  <si>
    <t>Quaternion(0.0025</t>
  </si>
  <si>
    <t>localQuaternionQuaternion(-0.0019</t>
  </si>
  <si>
    <t>Quaternion(-0.0139</t>
  </si>
  <si>
    <t>localQuaternionQuaternion(0.0064</t>
  </si>
  <si>
    <t>Quaternion(-0.0283</t>
  </si>
  <si>
    <t>localQuaternionQuaternion(-0.0673</t>
  </si>
  <si>
    <t>Quaternion(0.0268</t>
  </si>
  <si>
    <t>localQuaternionQuaternion(0.0476</t>
  </si>
  <si>
    <t>Quaternion(-0.0303</t>
  </si>
  <si>
    <t>Number of hops</t>
  </si>
  <si>
    <t>Experiment 1</t>
  </si>
  <si>
    <t>Location</t>
  </si>
  <si>
    <t>Rotation</t>
  </si>
  <si>
    <t>Experiment 2</t>
  </si>
  <si>
    <t>Experiment 3</t>
  </si>
  <si>
    <t>LocalPosX</t>
  </si>
  <si>
    <t>LocalPosY</t>
  </si>
  <si>
    <t>LocalPosZ</t>
  </si>
  <si>
    <t>LocalRotX</t>
  </si>
  <si>
    <t>LocalRotY</t>
  </si>
  <si>
    <t>LocalRotZ</t>
  </si>
  <si>
    <t>GlobalPosX</t>
  </si>
  <si>
    <t>GlobalPosY</t>
  </si>
  <si>
    <t>GlobalPosZ</t>
  </si>
  <si>
    <t>GlobalRotX</t>
  </si>
  <si>
    <t>GlobalRotY</t>
  </si>
  <si>
    <t>GlobalRotZ</t>
  </si>
  <si>
    <t>Mag</t>
  </si>
  <si>
    <t>Avg Pos</t>
  </si>
  <si>
    <t>Avg Rot</t>
  </si>
  <si>
    <t>RotMag</t>
  </si>
  <si>
    <t>PosMag</t>
  </si>
  <si>
    <t>std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</si>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</sst>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" fillId="30" borderId="0" xfId="39"/>
    <xf numFmtId="0" fontId="16" fillId="0" borderId="0" xfId="0" applyFont="1"/>
    <xf numFmtId="0" fontId="7" fillId="3" borderId="0" xfId="7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FirstFinalOffset!$B$11</c:f>
              <c:strCache>
                <c:ptCount val="1"/>
                <c:pt idx="0">
                  <c:v>Experiment 1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FirstFinalOffset!$B$14:$B$18</c:f>
              <c:numCache>
                <c:formatCode>General</c:formatCode>
                <c:ptCount val="5"/>
                <c:pt idx="0">
                  <c:v>9.643650760992955E-4</c:v>
                </c:pt>
                <c:pt idx="1">
                  <c:v>0.11235386063682903</c:v>
                </c:pt>
                <c:pt idx="2">
                  <c:v>3.773751449155071E-2</c:v>
                </c:pt>
                <c:pt idx="3">
                  <c:v>3.87387402996019E-2</c:v>
                </c:pt>
                <c:pt idx="4">
                  <c:v>0.36106711287515508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6-4A6D-A86D-AC0D8170B96D}"/>
            </c:ext>
          </c:extLst>
        </c:ser>
        <c:ser>
          <c:idx val="1"/>
          <c:order val="1"/>
          <c:tx>
            <c:strRef>
              <c:f>FirstFinalOffset!$D$11</c:f>
              <c:strCache>
                <c:ptCount val="1"/>
                <c:pt idx="0">
                  <c:v>Experiment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FirstFinalOffset!$D$14:$D$18</c:f>
              <c:numCache>
                <c:formatCode>General</c:formatCode>
                <c:ptCount val="5"/>
                <c:pt idx="0">
                  <c:v>1.4352700094407323E-3</c:v>
                </c:pt>
                <c:pt idx="1">
                  <c:v>7.9847730086709409E-2</c:v>
                </c:pt>
                <c:pt idx="2">
                  <c:v>2.6739670902986071E-2</c:v>
                </c:pt>
                <c:pt idx="3">
                  <c:v>7.1269418406494658E-2</c:v>
                </c:pt>
                <c:pt idx="4">
                  <c:v>0.24051249447793768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C-4C03-8D70-5C14051FB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076192"/>
        <c:axId val="350086752"/>
      </c:barChart>
      <c:catAx>
        <c:axId val="35007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</a:t>
                </a:r>
                <a:r>
                  <a:rPr lang="en-GB" baseline="0"/>
                  <a:t>Pairwise Sensor Calibrations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6752"/>
        <c:crosses val="autoZero"/>
        <c:auto val="1"/>
        <c:lblAlgn val="ctr"/>
        <c:lblOffset val="100"/>
        <c:noMultiLvlLbl val="0"/>
      </c:catAx>
      <c:valAx>
        <c:axId val="3500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Measured</a:t>
                </a:r>
                <a:r>
                  <a:rPr lang="en-GB" baseline="0"/>
                  <a:t> Difference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7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FirstFinalOffset!$I$13</c:f>
              <c:strCache>
                <c:ptCount val="1"/>
                <c:pt idx="0">
                  <c:v>Mag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FirstFinalOffset!$I$21:$I$25</c:f>
              <c:numCache>
                <c:formatCode>General</c:formatCode>
                <c:ptCount val="5"/>
                <c:pt idx="0">
                  <c:v>9.643650760992955E-4</c:v>
                </c:pt>
                <c:pt idx="1">
                  <c:v>7.9847730086709409E-2</c:v>
                </c:pt>
                <c:pt idx="2">
                  <c:v>3.773751449155071E-2</c:v>
                </c:pt>
                <c:pt idx="3">
                  <c:v>7.1269418406494658E-2</c:v>
                </c:pt>
                <c:pt idx="4">
                  <c:v>0.24051249447793768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E-4B1F-A621-4E4FB91D389C}"/>
            </c:ext>
          </c:extLst>
        </c:ser>
        <c:ser>
          <c:idx val="1"/>
          <c:order val="1"/>
          <c:tx>
            <c:strRef>
              <c:f>FirstFinalOffset!$J$13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FirstFinalOffset!$J$21:$J$25</c:f>
              <c:numCache>
                <c:formatCode>General</c:formatCode>
                <c:ptCount val="5"/>
                <c:pt idx="0">
                  <c:v>0.35170946816937504</c:v>
                </c:pt>
                <c:pt idx="1">
                  <c:v>0.32758331764607818</c:v>
                </c:pt>
                <c:pt idx="2">
                  <c:v>0.14244964022418075</c:v>
                </c:pt>
                <c:pt idx="3">
                  <c:v>0.72198854561549353</c:v>
                </c:pt>
                <c:pt idx="4">
                  <c:v>3.807336370745301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E-4B1F-A621-4E4FB91D3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0076192"/>
        <c:axId val="350086752"/>
      </c:lineChart>
      <c:catAx>
        <c:axId val="3500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6752"/>
        <c:crosses val="autoZero"/>
        <c:auto val="1"/>
        <c:lblAlgn val="ctr"/>
        <c:lblOffset val="100"/>
        <c:noMultiLvlLbl val="0"/>
      </c:catAx>
      <c:valAx>
        <c:axId val="3500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605223974478828E-2"/>
          <c:y val="4.1491866750122314E-2"/>
          <c:w val="0.90407560633378203"/>
          <c:h val="0.808711059515508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FirstFinalOffset!$B$11</c:f>
              <c:strCache>
                <c:ptCount val="1"/>
                <c:pt idx="0">
                  <c:v>Experiment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FirstFinalOffset!$C$14:$C$18</c:f>
              <c:numCache>
                <c:formatCode>General</c:formatCode>
                <c:ptCount val="5"/>
                <c:pt idx="0">
                  <c:v>0.35170946816937504</c:v>
                </c:pt>
                <c:pt idx="1">
                  <c:v>0.45690018603626092</c:v>
                </c:pt>
                <c:pt idx="2">
                  <c:v>0.14244964022418075</c:v>
                </c:pt>
                <c:pt idx="3">
                  <c:v>0.94800711495219636</c:v>
                </c:pt>
                <c:pt idx="4">
                  <c:v>7.6603446639169146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9E4-B688-15693F9E8E87}"/>
            </c:ext>
          </c:extLst>
        </c:ser>
        <c:ser>
          <c:idx val="1"/>
          <c:order val="1"/>
          <c:tx>
            <c:strRef>
              <c:f>FirstFinalOffset!$D$11</c:f>
              <c:strCache>
                <c:ptCount val="1"/>
                <c:pt idx="0">
                  <c:v>Experiment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FirstFinalOffset!$E$14:$E$18</c:f>
              <c:numCache>
                <c:formatCode>General</c:formatCode>
                <c:ptCount val="5"/>
                <c:pt idx="0">
                  <c:v>0.37146596075548827</c:v>
                </c:pt>
                <c:pt idx="1">
                  <c:v>0.32758331764607818</c:v>
                </c:pt>
                <c:pt idx="2">
                  <c:v>0.69523446404790656</c:v>
                </c:pt>
                <c:pt idx="3">
                  <c:v>0.72198854561549353</c:v>
                </c:pt>
                <c:pt idx="4">
                  <c:v>3.807336370745301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8-4667-940D-A7AA3BDD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0076192"/>
        <c:axId val="350086752"/>
      </c:barChart>
      <c:catAx>
        <c:axId val="35007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</a:t>
                </a:r>
                <a:r>
                  <a:rPr lang="en-GB" baseline="0"/>
                  <a:t>Pairwise Sensor Calibrations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86752"/>
        <c:crosses val="autoZero"/>
        <c:auto val="1"/>
        <c:lblAlgn val="ctr"/>
        <c:lblOffset val="100"/>
        <c:noMultiLvlLbl val="0"/>
      </c:catAx>
      <c:valAx>
        <c:axId val="3500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Measured</a:t>
                </a:r>
                <a:r>
                  <a:rPr lang="en-GB" baseline="0"/>
                  <a:t> Difference (</a:t>
                </a:r>
                <a:r>
                  <a:rPr lang="en-GB" sz="1000" b="0" i="0" u="none" strike="noStrike" baseline="0">
                    <a:effectLst/>
                  </a:rPr>
                  <a:t>°degrees)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07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236723</xdr:colOff>
      <xdr:row>7</xdr:row>
      <xdr:rowOff>131761</xdr:rowOff>
    </xdr:from>
    <xdr:to>
      <xdr:col>20</xdr:col>
      <xdr:colOff>549461</xdr:colOff>
      <xdr:row>26</xdr:row>
      <xdr:rowOff>111124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5E1F0-B990-E6D5-1ED0-7D37DF218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234950</xdr:colOff>
      <xdr:row>27</xdr:row>
      <xdr:rowOff>38100</xdr:rowOff>
    </xdr:from>
    <xdr:to>
      <xdr:col>20</xdr:col>
      <xdr:colOff>554038</xdr:colOff>
      <xdr:row>46</xdr:row>
      <xdr:rowOff>17463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CC1FC1-9A51-46B1-A79F-33FE72BBF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44823</xdr:colOff>
      <xdr:row>8</xdr:row>
      <xdr:rowOff>37352</xdr:rowOff>
    </xdr:from>
    <xdr:to>
      <xdr:col>31</xdr:col>
      <xdr:colOff>500622</xdr:colOff>
      <xdr:row>27</xdr:row>
      <xdr:rowOff>16715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C94AAF-19B1-4D9C-B13E-2303838F7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18C2-A93A-4178-B06B-45AD4DC64A77}">
  <dimension ref="A1:AA61"/>
  <sheetViews>
    <sheetView workbookViewId="0"/>
  </sheetViews>
  <sheetFormatPr defaultRowHeight="14.5" x14ac:dyDescent="0.35"/>
  <cols>
    <col min="1" max="2" width="2" bestFit="1" customWidth="1"/>
    <col min="3" max="3" width="8" hidden="1" customWidth="1"/>
    <col min="4" max="4" width="12.7265625" hidden="1" customWidth="1"/>
    <col min="5" max="5" width="10.1796875" hidden="1" customWidth="1"/>
    <col min="6" max="7" width="10" hidden="1" customWidth="1"/>
    <col min="8" max="8" width="9.81640625" hidden="1" customWidth="1"/>
    <col min="9" max="9" width="9.7265625" hidden="1" customWidth="1"/>
    <col min="10" max="11" width="9.54296875" hidden="1" customWidth="1"/>
    <col min="12" max="12" width="33.1796875" hidden="1" customWidth="1"/>
    <col min="13" max="15" width="7.7265625" hidden="1" customWidth="1"/>
    <col min="16" max="16" width="14" hidden="1" customWidth="1"/>
    <col min="17" max="17" width="11.26953125" bestFit="1" customWidth="1"/>
    <col min="18" max="19" width="11.1796875" bestFit="1" customWidth="1"/>
    <col min="20" max="20" width="10.81640625" bestFit="1" customWidth="1"/>
    <col min="21" max="22" width="10.7265625" bestFit="1" customWidth="1"/>
    <col min="23" max="23" width="16.7265625" bestFit="1" customWidth="1"/>
    <col min="24" max="24" width="18.26953125" bestFit="1" customWidth="1"/>
    <col min="25" max="27" width="7.7265625" bestFit="1" customWidth="1"/>
  </cols>
  <sheetData>
    <row r="1" spans="1:27" x14ac:dyDescent="0.35">
      <c r="E1" t="s">
        <v>114</v>
      </c>
      <c r="F1" t="s">
        <v>115</v>
      </c>
      <c r="G1" t="s">
        <v>116</v>
      </c>
      <c r="I1" t="s">
        <v>117</v>
      </c>
      <c r="J1" t="s">
        <v>118</v>
      </c>
      <c r="K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</row>
    <row r="2" spans="1:27" s="1" customFormat="1" x14ac:dyDescent="0.35">
      <c r="A2" s="1">
        <v>0</v>
      </c>
      <c r="B2" s="1">
        <v>0</v>
      </c>
      <c r="C2" s="1">
        <v>56788</v>
      </c>
      <c r="D2" s="1" t="s">
        <v>0</v>
      </c>
      <c r="E2" s="1">
        <v>-3.4466000000000001</v>
      </c>
      <c r="F2" s="1">
        <v>0.66010000000000002</v>
      </c>
      <c r="G2" s="1">
        <v>-0.52400000000000002</v>
      </c>
      <c r="H2" s="1" t="s">
        <v>1</v>
      </c>
      <c r="I2" s="1">
        <v>356.10610000000003</v>
      </c>
      <c r="J2" s="1">
        <v>130.63229999999999</v>
      </c>
      <c r="K2" s="1">
        <v>1.7047000000000001</v>
      </c>
      <c r="L2" s="1" t="s">
        <v>2</v>
      </c>
      <c r="M2" s="1">
        <v>-0.90820000000000001</v>
      </c>
      <c r="N2" s="1">
        <v>-3.7100000000000001E-2</v>
      </c>
      <c r="O2" s="1">
        <v>-0.41689999999999999</v>
      </c>
      <c r="P2" s="1" t="s">
        <v>3</v>
      </c>
      <c r="Q2" s="1">
        <v>-3.4466000000000001</v>
      </c>
      <c r="R2" s="1">
        <v>0.66010000000000002</v>
      </c>
      <c r="S2" s="1">
        <v>-0.52400000000000002</v>
      </c>
      <c r="T2" s="1">
        <v>356.10610000000003</v>
      </c>
      <c r="U2" s="1">
        <v>130.63229999999999</v>
      </c>
      <c r="V2" s="1">
        <v>1.7047000000000001</v>
      </c>
      <c r="W2" s="1" t="s">
        <v>4</v>
      </c>
      <c r="X2" s="1" t="s">
        <v>5</v>
      </c>
      <c r="Y2" s="1">
        <v>-0.90820000000000001</v>
      </c>
      <c r="Z2" s="1">
        <v>-3.7100000000000001E-2</v>
      </c>
      <c r="AA2" s="1">
        <v>-0.41689999999999999</v>
      </c>
    </row>
    <row r="3" spans="1:27" x14ac:dyDescent="0.35">
      <c r="A3">
        <v>0</v>
      </c>
      <c r="B3">
        <v>1</v>
      </c>
      <c r="C3">
        <v>100667</v>
      </c>
      <c r="D3" t="s">
        <v>0</v>
      </c>
      <c r="E3">
        <v>-2.6644000000000001</v>
      </c>
      <c r="F3">
        <v>-0.73460000000000003</v>
      </c>
      <c r="G3">
        <v>2.2246999999999999</v>
      </c>
      <c r="H3" t="s">
        <v>1</v>
      </c>
      <c r="I3">
        <v>356.12290000000002</v>
      </c>
      <c r="J3">
        <v>229.02250000000001</v>
      </c>
      <c r="K3">
        <v>358.19110000000001</v>
      </c>
      <c r="L3" t="s">
        <v>6</v>
      </c>
      <c r="M3">
        <v>0.90949999999999998</v>
      </c>
      <c r="N3">
        <v>3.73E-2</v>
      </c>
      <c r="O3">
        <v>-0.41410000000000002</v>
      </c>
      <c r="P3" t="s">
        <v>3</v>
      </c>
      <c r="Q3">
        <v>-2.0000000000000001E-4</v>
      </c>
      <c r="R3">
        <v>-5.0000000000000001E-4</v>
      </c>
      <c r="S3">
        <v>-8.0000000000000004E-4</v>
      </c>
      <c r="T3">
        <v>359.9631</v>
      </c>
      <c r="U3">
        <v>359.65050000000002</v>
      </c>
      <c r="V3">
        <v>1.37E-2</v>
      </c>
      <c r="W3" t="s">
        <v>4</v>
      </c>
      <c r="X3" t="s">
        <v>7</v>
      </c>
      <c r="Y3">
        <v>-3.0999999999999999E-3</v>
      </c>
      <c r="Z3">
        <v>1E-4</v>
      </c>
      <c r="AA3">
        <v>1</v>
      </c>
    </row>
    <row r="4" spans="1:27" s="1" customFormat="1" x14ac:dyDescent="0.35">
      <c r="A4" s="1">
        <v>1</v>
      </c>
      <c r="B4" s="1">
        <v>0</v>
      </c>
      <c r="C4" s="1">
        <v>226514</v>
      </c>
      <c r="D4" s="1" t="s">
        <v>0</v>
      </c>
      <c r="E4" s="1">
        <v>-3.448</v>
      </c>
      <c r="F4" s="1">
        <v>0.66239999999999999</v>
      </c>
      <c r="G4" s="1">
        <v>-0.50509999999999999</v>
      </c>
      <c r="H4" s="1" t="s">
        <v>1</v>
      </c>
      <c r="I4" s="1">
        <v>356.577</v>
      </c>
      <c r="J4" s="1">
        <v>131.0308</v>
      </c>
      <c r="K4" s="1">
        <v>1.5969</v>
      </c>
      <c r="L4" s="1" t="s">
        <v>6</v>
      </c>
      <c r="M4" s="1">
        <v>-0.90980000000000005</v>
      </c>
      <c r="N4" s="1">
        <v>-3.3000000000000002E-2</v>
      </c>
      <c r="O4" s="1">
        <v>-0.4138</v>
      </c>
      <c r="P4" s="1" t="s">
        <v>3</v>
      </c>
      <c r="Q4" s="1">
        <v>-3.448</v>
      </c>
      <c r="R4" s="1">
        <v>0.66239999999999999</v>
      </c>
      <c r="S4" s="1">
        <v>-0.50509999999999999</v>
      </c>
      <c r="T4" s="1">
        <v>356.577</v>
      </c>
      <c r="U4" s="1">
        <v>131.0308</v>
      </c>
      <c r="V4" s="1">
        <v>1.5969</v>
      </c>
      <c r="W4" s="1" t="s">
        <v>4</v>
      </c>
      <c r="X4" s="1" t="s">
        <v>7</v>
      </c>
      <c r="Y4" s="1">
        <v>-0.90980000000000005</v>
      </c>
      <c r="Z4" s="1">
        <v>-3.3000000000000002E-2</v>
      </c>
      <c r="AA4" s="1">
        <v>-0.4138</v>
      </c>
    </row>
    <row r="5" spans="1:27" x14ac:dyDescent="0.35">
      <c r="A5">
        <v>1</v>
      </c>
      <c r="B5">
        <v>1</v>
      </c>
      <c r="C5">
        <v>268099</v>
      </c>
      <c r="D5" t="s">
        <v>0</v>
      </c>
      <c r="E5">
        <v>-2.6652</v>
      </c>
      <c r="F5">
        <v>-0.72289999999999999</v>
      </c>
      <c r="G5">
        <v>2.2271000000000001</v>
      </c>
      <c r="H5" t="s">
        <v>1</v>
      </c>
      <c r="I5">
        <v>356.55070000000001</v>
      </c>
      <c r="J5">
        <v>229.3338</v>
      </c>
      <c r="K5">
        <v>358.37709999999998</v>
      </c>
      <c r="L5" t="s">
        <v>6</v>
      </c>
      <c r="M5">
        <v>0.90839999999999999</v>
      </c>
      <c r="N5">
        <v>3.3300000000000003E-2</v>
      </c>
      <c r="O5">
        <v>-0.41670000000000001</v>
      </c>
      <c r="P5" t="s">
        <v>3</v>
      </c>
      <c r="Q5">
        <v>5.9999999999999995E-4</v>
      </c>
      <c r="R5">
        <v>-1E-4</v>
      </c>
      <c r="S5">
        <v>-1.2999999999999999E-3</v>
      </c>
      <c r="T5">
        <v>359.99220000000003</v>
      </c>
      <c r="U5">
        <v>0.3654</v>
      </c>
      <c r="V5">
        <v>359.93360000000001</v>
      </c>
      <c r="W5" t="s">
        <v>4</v>
      </c>
      <c r="X5" t="s">
        <v>8</v>
      </c>
      <c r="Y5">
        <v>3.2000000000000002E-3</v>
      </c>
      <c r="Z5">
        <v>-5.9999999999999995E-4</v>
      </c>
      <c r="AA5">
        <v>1</v>
      </c>
    </row>
    <row r="6" spans="1:27" s="1" customFormat="1" x14ac:dyDescent="0.35">
      <c r="A6" s="1">
        <v>2</v>
      </c>
      <c r="B6" s="1">
        <v>0</v>
      </c>
      <c r="C6" s="1">
        <v>316258</v>
      </c>
      <c r="D6" s="1" t="s">
        <v>0</v>
      </c>
      <c r="E6" s="1">
        <v>-3.4458000000000002</v>
      </c>
      <c r="F6" s="1">
        <v>0.65910000000000002</v>
      </c>
      <c r="G6" s="1">
        <v>-0.52680000000000005</v>
      </c>
      <c r="H6" s="1" t="s">
        <v>1</v>
      </c>
      <c r="I6" s="1">
        <v>356.48149999999998</v>
      </c>
      <c r="J6" s="1">
        <v>130.87520000000001</v>
      </c>
      <c r="K6" s="1">
        <v>1.6041000000000001</v>
      </c>
      <c r="L6" s="1" t="s">
        <v>9</v>
      </c>
      <c r="M6" s="1">
        <v>-0.90920000000000001</v>
      </c>
      <c r="N6" s="1">
        <v>-3.3700000000000001E-2</v>
      </c>
      <c r="O6" s="1">
        <v>-0.41510000000000002</v>
      </c>
      <c r="P6" s="1" t="s">
        <v>3</v>
      </c>
      <c r="Q6" s="1">
        <v>-3.4458000000000002</v>
      </c>
      <c r="R6" s="1">
        <v>0.65910000000000002</v>
      </c>
      <c r="S6" s="1">
        <v>-0.52680000000000005</v>
      </c>
      <c r="T6" s="1">
        <v>356.48149999999998</v>
      </c>
      <c r="U6" s="1">
        <v>130.87520000000001</v>
      </c>
      <c r="V6" s="1">
        <v>1.6041000000000001</v>
      </c>
      <c r="W6" s="1" t="s">
        <v>4</v>
      </c>
      <c r="X6" s="1" t="s">
        <v>10</v>
      </c>
      <c r="Y6" s="1">
        <v>-0.90920000000000001</v>
      </c>
      <c r="Z6" s="1">
        <v>-3.3700000000000001E-2</v>
      </c>
      <c r="AA6" s="1">
        <v>-0.41510000000000002</v>
      </c>
    </row>
    <row r="7" spans="1:27" x14ac:dyDescent="0.35">
      <c r="A7">
        <v>2</v>
      </c>
      <c r="B7">
        <v>1</v>
      </c>
      <c r="C7">
        <v>355492</v>
      </c>
      <c r="D7" t="s">
        <v>0</v>
      </c>
      <c r="E7">
        <v>-2.6726000000000001</v>
      </c>
      <c r="F7">
        <v>-0.72119999999999995</v>
      </c>
      <c r="G7">
        <v>2.2170000000000001</v>
      </c>
      <c r="H7" t="s">
        <v>1</v>
      </c>
      <c r="I7">
        <v>356.49709999999999</v>
      </c>
      <c r="J7">
        <v>228.73410000000001</v>
      </c>
      <c r="K7">
        <v>358.49299999999999</v>
      </c>
      <c r="L7" t="s">
        <v>11</v>
      </c>
      <c r="M7">
        <v>0.91059999999999997</v>
      </c>
      <c r="N7">
        <v>3.3300000000000003E-2</v>
      </c>
      <c r="O7">
        <v>-0.41199999999999998</v>
      </c>
      <c r="P7" t="s">
        <v>3</v>
      </c>
      <c r="Q7">
        <v>-5.9999999999999995E-4</v>
      </c>
      <c r="R7">
        <v>1E-3</v>
      </c>
      <c r="S7">
        <v>-2E-3</v>
      </c>
      <c r="T7">
        <v>2.3099999999999999E-2</v>
      </c>
      <c r="U7">
        <v>359.61040000000003</v>
      </c>
      <c r="V7">
        <v>8.0399999999999999E-2</v>
      </c>
      <c r="W7" t="s">
        <v>4</v>
      </c>
      <c r="X7" t="s">
        <v>12</v>
      </c>
      <c r="Y7">
        <v>-3.3999999999999998E-3</v>
      </c>
      <c r="Z7">
        <v>6.9999999999999999E-4</v>
      </c>
      <c r="AA7">
        <v>1</v>
      </c>
    </row>
    <row r="8" spans="1:27" s="1" customFormat="1" x14ac:dyDescent="0.35">
      <c r="A8" s="1">
        <v>3</v>
      </c>
      <c r="B8" s="1">
        <v>0</v>
      </c>
      <c r="C8" s="1">
        <v>509144</v>
      </c>
      <c r="D8" s="1" t="s">
        <v>0</v>
      </c>
      <c r="E8" s="1">
        <v>-3.4504999999999999</v>
      </c>
      <c r="F8" s="1">
        <v>0.66200000000000003</v>
      </c>
      <c r="G8" s="1">
        <v>-0.50519999999999998</v>
      </c>
      <c r="H8" s="1" t="s">
        <v>1</v>
      </c>
      <c r="I8" s="1">
        <v>356.39699999999999</v>
      </c>
      <c r="J8" s="1">
        <v>129.05879999999999</v>
      </c>
      <c r="K8" s="1">
        <v>1.7020999999999999</v>
      </c>
      <c r="L8" s="1" t="s">
        <v>13</v>
      </c>
      <c r="M8" s="1">
        <v>-0.90249999999999997</v>
      </c>
      <c r="N8" s="1">
        <v>-3.4799999999999998E-2</v>
      </c>
      <c r="O8" s="1">
        <v>-0.4294</v>
      </c>
      <c r="P8" s="1" t="s">
        <v>3</v>
      </c>
      <c r="Q8" s="1">
        <v>-3.4504999999999999</v>
      </c>
      <c r="R8" s="1">
        <v>0.66200000000000003</v>
      </c>
      <c r="S8" s="1">
        <v>-0.50519999999999998</v>
      </c>
      <c r="T8" s="1">
        <v>356.39699999999999</v>
      </c>
      <c r="U8" s="1">
        <v>129.05879999999999</v>
      </c>
      <c r="V8" s="1">
        <v>1.7020999999999999</v>
      </c>
      <c r="W8" s="1" t="s">
        <v>4</v>
      </c>
      <c r="X8" s="1" t="s">
        <v>14</v>
      </c>
      <c r="Y8" s="1">
        <v>-0.90249999999999997</v>
      </c>
      <c r="Z8" s="1">
        <v>-3.4799999999999998E-2</v>
      </c>
      <c r="AA8" s="1">
        <v>-0.4294</v>
      </c>
    </row>
    <row r="9" spans="1:27" x14ac:dyDescent="0.35">
      <c r="A9">
        <v>3</v>
      </c>
      <c r="B9">
        <v>1</v>
      </c>
      <c r="C9">
        <v>582997</v>
      </c>
      <c r="D9" t="s">
        <v>0</v>
      </c>
      <c r="E9">
        <v>0.68510000000000004</v>
      </c>
      <c r="F9">
        <v>-0.77639999999999998</v>
      </c>
      <c r="G9">
        <v>1.8626</v>
      </c>
      <c r="H9" t="s">
        <v>1</v>
      </c>
      <c r="I9">
        <v>0.25309999999999999</v>
      </c>
      <c r="J9">
        <v>284.6454</v>
      </c>
      <c r="K9">
        <v>355.55739999999997</v>
      </c>
      <c r="L9" t="s">
        <v>15</v>
      </c>
      <c r="M9">
        <v>-0.61070000000000002</v>
      </c>
      <c r="N9">
        <v>-2.93E-2</v>
      </c>
      <c r="O9">
        <v>0.79090000000000005</v>
      </c>
      <c r="P9" t="s">
        <v>3</v>
      </c>
      <c r="Q9">
        <v>-2.4161999999999999</v>
      </c>
      <c r="R9">
        <v>2.4799999999999999E-2</v>
      </c>
      <c r="S9">
        <v>-2.2559999999999998</v>
      </c>
      <c r="T9">
        <v>0.98540000000000005</v>
      </c>
      <c r="U9">
        <v>53.8001</v>
      </c>
      <c r="V9">
        <v>359.4742</v>
      </c>
      <c r="W9" t="s">
        <v>4</v>
      </c>
      <c r="X9" t="s">
        <v>16</v>
      </c>
      <c r="Y9">
        <v>-0.45240000000000002</v>
      </c>
      <c r="Z9">
        <v>8.0000000000000002E-3</v>
      </c>
      <c r="AA9">
        <v>-0.89170000000000005</v>
      </c>
    </row>
    <row r="10" spans="1:27" x14ac:dyDescent="0.35">
      <c r="A10">
        <v>3</v>
      </c>
      <c r="B10">
        <v>2</v>
      </c>
      <c r="C10">
        <v>629337</v>
      </c>
      <c r="D10" t="s">
        <v>0</v>
      </c>
      <c r="E10">
        <v>-0.50790000000000002</v>
      </c>
      <c r="F10">
        <v>4.9399999999999999E-2</v>
      </c>
      <c r="G10">
        <v>3.2033999999999998</v>
      </c>
      <c r="H10" t="s">
        <v>1</v>
      </c>
      <c r="I10">
        <v>-4.1999999999999997E-3</v>
      </c>
      <c r="J10">
        <v>303.24360000000001</v>
      </c>
      <c r="K10">
        <v>0.45710000000000001</v>
      </c>
      <c r="L10" t="s">
        <v>17</v>
      </c>
      <c r="M10">
        <v>0.4753</v>
      </c>
      <c r="N10">
        <v>-3.5000000000000001E-3</v>
      </c>
      <c r="O10">
        <v>-0.87980000000000003</v>
      </c>
      <c r="P10" t="s">
        <v>3</v>
      </c>
      <c r="Q10">
        <v>-0.1305</v>
      </c>
      <c r="R10">
        <v>2.3800000000000002E-2</v>
      </c>
      <c r="S10">
        <v>4.5699999999999998E-2</v>
      </c>
      <c r="T10">
        <v>9.6199999999999994E-2</v>
      </c>
      <c r="U10">
        <v>357.04739999999998</v>
      </c>
      <c r="V10">
        <v>359.34469999999999</v>
      </c>
      <c r="W10" t="s">
        <v>4</v>
      </c>
      <c r="X10" t="s">
        <v>18</v>
      </c>
      <c r="Y10">
        <v>-2.58E-2</v>
      </c>
      <c r="Z10">
        <v>-5.7000000000000002E-3</v>
      </c>
      <c r="AA10">
        <v>0.99970000000000003</v>
      </c>
    </row>
    <row r="11" spans="1:27" s="1" customFormat="1" x14ac:dyDescent="0.35">
      <c r="A11" s="1">
        <v>0</v>
      </c>
      <c r="B11" s="1">
        <v>0</v>
      </c>
      <c r="C11" s="1">
        <v>45027</v>
      </c>
      <c r="D11" s="1" t="s">
        <v>0</v>
      </c>
      <c r="E11" s="1">
        <v>-3.4542000000000002</v>
      </c>
      <c r="F11" s="1">
        <v>0.66949999999999998</v>
      </c>
      <c r="G11" s="1">
        <v>-0.45179999999999998</v>
      </c>
      <c r="H11" s="1" t="s">
        <v>1</v>
      </c>
      <c r="I11" s="1">
        <v>356.59050000000002</v>
      </c>
      <c r="J11" s="1">
        <v>129.8458</v>
      </c>
      <c r="K11" s="1">
        <v>1.6141000000000001</v>
      </c>
      <c r="L11" s="1" t="s">
        <v>19</v>
      </c>
      <c r="M11" s="1">
        <v>-0.90539999999999998</v>
      </c>
      <c r="N11" s="1">
        <v>-3.2899999999999999E-2</v>
      </c>
      <c r="O11" s="1">
        <v>-0.42320000000000002</v>
      </c>
      <c r="P11" s="1" t="s">
        <v>3</v>
      </c>
      <c r="Q11" s="1">
        <v>-3.4542000000000002</v>
      </c>
      <c r="R11" s="1">
        <v>0.66949999999999998</v>
      </c>
      <c r="S11" s="1">
        <v>-0.45179999999999998</v>
      </c>
      <c r="T11" s="1">
        <v>356.59050000000002</v>
      </c>
      <c r="U11" s="1">
        <v>129.8458</v>
      </c>
      <c r="V11" s="1">
        <v>1.6141000000000001</v>
      </c>
      <c r="W11" s="1" t="s">
        <v>4</v>
      </c>
      <c r="X11" s="1" t="s">
        <v>8</v>
      </c>
      <c r="Y11" s="1">
        <v>-0.90539999999999998</v>
      </c>
      <c r="Z11" s="1">
        <v>-3.2899999999999999E-2</v>
      </c>
      <c r="AA11" s="1">
        <v>-0.42320000000000002</v>
      </c>
    </row>
    <row r="12" spans="1:27" x14ac:dyDescent="0.35">
      <c r="A12">
        <v>0</v>
      </c>
      <c r="B12">
        <v>1</v>
      </c>
      <c r="C12">
        <v>81466</v>
      </c>
      <c r="D12" t="s">
        <v>0</v>
      </c>
      <c r="E12">
        <v>0.68440000000000001</v>
      </c>
      <c r="F12">
        <v>-0.72409999999999997</v>
      </c>
      <c r="G12">
        <v>1.9011</v>
      </c>
      <c r="H12" t="s">
        <v>1</v>
      </c>
      <c r="I12">
        <v>0.57530000000000003</v>
      </c>
      <c r="J12">
        <v>284.65100000000001</v>
      </c>
      <c r="K12">
        <v>355.31880000000001</v>
      </c>
      <c r="L12" t="s">
        <v>20</v>
      </c>
      <c r="M12">
        <v>-0.61050000000000004</v>
      </c>
      <c r="N12">
        <v>-2.93E-2</v>
      </c>
      <c r="O12">
        <v>0.79100000000000004</v>
      </c>
      <c r="P12" t="s">
        <v>3</v>
      </c>
      <c r="Q12">
        <v>-2.4163999999999999</v>
      </c>
      <c r="R12">
        <v>7.9299999999999995E-2</v>
      </c>
      <c r="S12">
        <v>-2.2355</v>
      </c>
      <c r="T12">
        <v>1.2707999999999999</v>
      </c>
      <c r="U12">
        <v>54.604599999999998</v>
      </c>
      <c r="V12">
        <v>359.0265</v>
      </c>
      <c r="W12" t="s">
        <v>4</v>
      </c>
      <c r="X12" t="s">
        <v>21</v>
      </c>
      <c r="Y12">
        <v>-0.4587</v>
      </c>
      <c r="Z12">
        <v>1.26E-2</v>
      </c>
      <c r="AA12">
        <v>-0.88849999999999996</v>
      </c>
    </row>
    <row r="13" spans="1:27" x14ac:dyDescent="0.35">
      <c r="A13">
        <v>0</v>
      </c>
      <c r="B13">
        <v>2</v>
      </c>
      <c r="C13">
        <v>158391</v>
      </c>
      <c r="D13" t="s">
        <v>0</v>
      </c>
      <c r="E13">
        <v>-0.37430000000000002</v>
      </c>
      <c r="F13">
        <v>8.72E-2</v>
      </c>
      <c r="G13">
        <v>3.2717000000000001</v>
      </c>
      <c r="H13" t="s">
        <v>1</v>
      </c>
      <c r="I13">
        <v>359.89429999999999</v>
      </c>
      <c r="J13">
        <v>305.42720000000003</v>
      </c>
      <c r="K13">
        <v>1.1751</v>
      </c>
      <c r="L13" t="s">
        <v>22</v>
      </c>
      <c r="M13">
        <v>-0.45839999999999997</v>
      </c>
      <c r="N13">
        <v>8.6999999999999994E-3</v>
      </c>
      <c r="O13">
        <v>0.88870000000000005</v>
      </c>
      <c r="P13" t="s">
        <v>3</v>
      </c>
      <c r="Q13">
        <v>3.5700000000000003E-2</v>
      </c>
      <c r="R13">
        <v>0.1003</v>
      </c>
      <c r="S13">
        <v>-3.5900000000000001E-2</v>
      </c>
      <c r="T13">
        <v>359.83800000000002</v>
      </c>
      <c r="U13">
        <v>4.6300000000000001E-2</v>
      </c>
      <c r="V13">
        <v>359.57530000000003</v>
      </c>
      <c r="W13" t="s">
        <v>4</v>
      </c>
      <c r="X13" t="s">
        <v>23</v>
      </c>
      <c r="Y13">
        <v>-4.0000000000000002E-4</v>
      </c>
      <c r="Z13">
        <v>3.7000000000000002E-3</v>
      </c>
      <c r="AA13">
        <v>-1</v>
      </c>
    </row>
    <row r="14" spans="1:27" s="1" customFormat="1" x14ac:dyDescent="0.35">
      <c r="A14" s="1">
        <v>1</v>
      </c>
      <c r="B14" s="1">
        <v>0</v>
      </c>
      <c r="C14" s="1">
        <v>258651</v>
      </c>
      <c r="D14" s="1" t="s">
        <v>0</v>
      </c>
      <c r="E14" s="1">
        <v>-3.4525999999999999</v>
      </c>
      <c r="F14" s="1">
        <v>0.62909999999999999</v>
      </c>
      <c r="G14" s="1">
        <v>-0.48859999999999998</v>
      </c>
      <c r="H14" s="1" t="s">
        <v>1</v>
      </c>
      <c r="I14" s="1">
        <v>356.30180000000001</v>
      </c>
      <c r="J14" s="1">
        <v>131.0428</v>
      </c>
      <c r="K14" s="1">
        <v>1.6277999999999999</v>
      </c>
      <c r="L14" s="1" t="s">
        <v>24</v>
      </c>
      <c r="M14" s="1">
        <v>-0.90969999999999995</v>
      </c>
      <c r="N14" s="1">
        <v>-3.5200000000000002E-2</v>
      </c>
      <c r="O14" s="1">
        <v>-0.41370000000000001</v>
      </c>
      <c r="P14" s="1" t="s">
        <v>3</v>
      </c>
      <c r="Q14" s="1">
        <v>-3.4525999999999999</v>
      </c>
      <c r="R14" s="1">
        <v>0.62909999999999999</v>
      </c>
      <c r="S14" s="1">
        <v>-0.48859999999999998</v>
      </c>
      <c r="T14" s="1">
        <v>356.30180000000001</v>
      </c>
      <c r="U14" s="1">
        <v>131.0428</v>
      </c>
      <c r="V14" s="1">
        <v>1.6277999999999999</v>
      </c>
      <c r="W14" s="1" t="s">
        <v>4</v>
      </c>
      <c r="X14" s="1" t="s">
        <v>25</v>
      </c>
      <c r="Y14" s="1">
        <v>-0.90969999999999995</v>
      </c>
      <c r="Z14" s="1">
        <v>-3.5200000000000002E-2</v>
      </c>
      <c r="AA14" s="1">
        <v>-0.41370000000000001</v>
      </c>
    </row>
    <row r="15" spans="1:27" x14ac:dyDescent="0.35">
      <c r="A15">
        <v>1</v>
      </c>
      <c r="B15">
        <v>1</v>
      </c>
      <c r="C15">
        <v>297051</v>
      </c>
      <c r="D15" t="s">
        <v>0</v>
      </c>
      <c r="E15">
        <v>0.61699999999999999</v>
      </c>
      <c r="F15">
        <v>-0.73970000000000002</v>
      </c>
      <c r="G15">
        <v>1.9222999999999999</v>
      </c>
      <c r="H15" t="s">
        <v>1</v>
      </c>
      <c r="I15">
        <v>0.23139999999999999</v>
      </c>
      <c r="J15">
        <v>284.52609999999999</v>
      </c>
      <c r="K15">
        <v>355.23180000000002</v>
      </c>
      <c r="L15" t="s">
        <v>26</v>
      </c>
      <c r="M15">
        <v>-0.61140000000000005</v>
      </c>
      <c r="N15">
        <v>-3.1699999999999999E-2</v>
      </c>
      <c r="O15">
        <v>0.79020000000000001</v>
      </c>
      <c r="P15" t="s">
        <v>3</v>
      </c>
      <c r="Q15">
        <v>-2.3894000000000002</v>
      </c>
      <c r="R15">
        <v>3.27E-2</v>
      </c>
      <c r="S15">
        <v>-2.2597999999999998</v>
      </c>
      <c r="T15">
        <v>0.87619999999999998</v>
      </c>
      <c r="U15">
        <v>55.6599</v>
      </c>
      <c r="V15">
        <v>359.22030000000001</v>
      </c>
      <c r="W15" t="s">
        <v>4</v>
      </c>
      <c r="X15" t="s">
        <v>27</v>
      </c>
      <c r="Y15">
        <v>-0.46689999999999998</v>
      </c>
      <c r="Z15">
        <v>9.5999999999999992E-3</v>
      </c>
      <c r="AA15">
        <v>-0.88429999999999997</v>
      </c>
    </row>
    <row r="16" spans="1:27" x14ac:dyDescent="0.35">
      <c r="A16">
        <v>1</v>
      </c>
      <c r="B16">
        <v>2</v>
      </c>
      <c r="C16">
        <v>336965</v>
      </c>
      <c r="D16" t="s">
        <v>0</v>
      </c>
      <c r="E16">
        <v>-0.46760000000000002</v>
      </c>
      <c r="F16">
        <v>6.9800000000000001E-2</v>
      </c>
      <c r="G16">
        <v>3.2627999999999999</v>
      </c>
      <c r="H16" t="s">
        <v>1</v>
      </c>
      <c r="I16">
        <v>359.84440000000001</v>
      </c>
      <c r="J16">
        <v>304.36410000000001</v>
      </c>
      <c r="K16">
        <v>1.2790999999999999</v>
      </c>
      <c r="L16" t="s">
        <v>28</v>
      </c>
      <c r="M16">
        <v>-0.46660000000000001</v>
      </c>
      <c r="N16">
        <v>9.1999999999999998E-3</v>
      </c>
      <c r="O16">
        <v>0.88439999999999996</v>
      </c>
      <c r="P16" t="s">
        <v>3</v>
      </c>
      <c r="Q16">
        <v>4.2099999999999999E-2</v>
      </c>
      <c r="R16">
        <v>5.8999999999999997E-2</v>
      </c>
      <c r="S16">
        <v>-3.3500000000000002E-2</v>
      </c>
      <c r="T16">
        <v>359.69549999999998</v>
      </c>
      <c r="U16">
        <v>3.4700000000000002E-2</v>
      </c>
      <c r="V16">
        <v>0.1157</v>
      </c>
      <c r="W16" t="s">
        <v>4</v>
      </c>
      <c r="X16" t="s">
        <v>29</v>
      </c>
      <c r="Y16">
        <v>-2.9999999999999997E-4</v>
      </c>
      <c r="Z16">
        <v>-1E-3</v>
      </c>
      <c r="AA16">
        <v>-1</v>
      </c>
    </row>
    <row r="17" spans="1:27" s="1" customFormat="1" x14ac:dyDescent="0.35">
      <c r="A17" s="1">
        <v>0</v>
      </c>
      <c r="B17" s="1">
        <v>0</v>
      </c>
      <c r="C17" s="1">
        <v>63417</v>
      </c>
      <c r="D17" s="1" t="s">
        <v>0</v>
      </c>
      <c r="E17" s="1">
        <v>-3.4622999999999999</v>
      </c>
      <c r="F17" s="1">
        <v>0.64200000000000002</v>
      </c>
      <c r="G17" s="1">
        <v>-0.48570000000000002</v>
      </c>
      <c r="H17" s="1" t="s">
        <v>1</v>
      </c>
      <c r="I17" s="1">
        <v>356.29899999999998</v>
      </c>
      <c r="J17" s="1">
        <v>129.1754</v>
      </c>
      <c r="K17" s="1">
        <v>1.5909</v>
      </c>
      <c r="L17" s="1" t="s">
        <v>30</v>
      </c>
      <c r="M17" s="1">
        <v>-0.90290000000000004</v>
      </c>
      <c r="N17" s="1">
        <v>-3.5099999999999999E-2</v>
      </c>
      <c r="O17" s="1">
        <v>-0.42849999999999999</v>
      </c>
      <c r="P17" s="1" t="s">
        <v>3</v>
      </c>
      <c r="Q17" s="1">
        <v>-3.4622999999999999</v>
      </c>
      <c r="R17" s="1">
        <v>0.64200000000000002</v>
      </c>
      <c r="S17" s="1">
        <v>-0.48570000000000002</v>
      </c>
      <c r="T17" s="1">
        <v>356.29899999999998</v>
      </c>
      <c r="U17" s="1">
        <v>129.1754</v>
      </c>
      <c r="V17" s="1">
        <v>1.5909</v>
      </c>
      <c r="W17" s="1" t="s">
        <v>4</v>
      </c>
      <c r="X17" s="1" t="s">
        <v>31</v>
      </c>
      <c r="Y17" s="1">
        <v>-0.90290000000000004</v>
      </c>
      <c r="Z17" s="1">
        <v>-3.5099999999999999E-2</v>
      </c>
      <c r="AA17" s="1">
        <v>-0.42849999999999999</v>
      </c>
    </row>
    <row r="18" spans="1:27" x14ac:dyDescent="0.35">
      <c r="A18">
        <v>0</v>
      </c>
      <c r="B18">
        <v>1</v>
      </c>
      <c r="C18">
        <v>122364</v>
      </c>
      <c r="D18" t="s">
        <v>0</v>
      </c>
      <c r="E18">
        <v>3.15</v>
      </c>
      <c r="F18">
        <v>-4.6699999999999998E-2</v>
      </c>
      <c r="G18">
        <v>3.2086000000000001</v>
      </c>
      <c r="H18" t="s">
        <v>1</v>
      </c>
      <c r="I18">
        <v>0.53659999999999997</v>
      </c>
      <c r="J18">
        <v>289.93579999999997</v>
      </c>
      <c r="K18">
        <v>358.0136</v>
      </c>
      <c r="L18" t="s">
        <v>32</v>
      </c>
      <c r="M18">
        <v>-0.57389999999999997</v>
      </c>
      <c r="N18">
        <v>-1.15E-2</v>
      </c>
      <c r="O18">
        <v>0.81869999999999998</v>
      </c>
      <c r="P18" t="s">
        <v>3</v>
      </c>
      <c r="Q18">
        <v>-2.9721000000000002</v>
      </c>
      <c r="R18">
        <v>0.88980000000000004</v>
      </c>
      <c r="S18">
        <v>-4.9485999999999999</v>
      </c>
      <c r="T18">
        <v>0.76639999999999997</v>
      </c>
      <c r="U18">
        <v>59.208399999999997</v>
      </c>
      <c r="V18">
        <v>2.0354000000000001</v>
      </c>
      <c r="W18" t="s">
        <v>4</v>
      </c>
      <c r="X18" t="s">
        <v>33</v>
      </c>
      <c r="Y18">
        <v>-0.49380000000000002</v>
      </c>
      <c r="Z18">
        <v>-1.21E-2</v>
      </c>
      <c r="AA18">
        <v>-0.86939999999999995</v>
      </c>
    </row>
    <row r="19" spans="1:27" x14ac:dyDescent="0.35">
      <c r="A19">
        <v>0</v>
      </c>
      <c r="B19">
        <v>2</v>
      </c>
      <c r="C19">
        <v>162002</v>
      </c>
      <c r="D19" t="s">
        <v>0</v>
      </c>
      <c r="E19">
        <v>-2.2919999999999998</v>
      </c>
      <c r="F19">
        <v>-0.75509999999999999</v>
      </c>
      <c r="G19">
        <v>0.76160000000000005</v>
      </c>
      <c r="H19" t="s">
        <v>1</v>
      </c>
      <c r="I19">
        <v>1.2393000000000001</v>
      </c>
      <c r="J19">
        <v>33.281300000000002</v>
      </c>
      <c r="K19">
        <v>357.26580000000001</v>
      </c>
      <c r="L19" t="s">
        <v>34</v>
      </c>
      <c r="M19">
        <v>0.28649999999999998</v>
      </c>
      <c r="N19">
        <v>-2.5999999999999999E-2</v>
      </c>
      <c r="O19">
        <v>0.9577</v>
      </c>
      <c r="P19" t="s">
        <v>3</v>
      </c>
      <c r="Q19">
        <v>-3.4863</v>
      </c>
      <c r="R19">
        <v>4.3700000000000003E-2</v>
      </c>
      <c r="S19">
        <v>-2.6198000000000001</v>
      </c>
      <c r="T19">
        <v>0.76259999999999994</v>
      </c>
      <c r="U19">
        <v>92.513099999999994</v>
      </c>
      <c r="V19">
        <v>359.38810000000001</v>
      </c>
      <c r="W19" t="s">
        <v>4</v>
      </c>
      <c r="X19" t="s">
        <v>35</v>
      </c>
      <c r="Y19">
        <v>-0.72240000000000004</v>
      </c>
      <c r="Z19">
        <v>8.5000000000000006E-3</v>
      </c>
      <c r="AA19">
        <v>-0.69140000000000001</v>
      </c>
    </row>
    <row r="20" spans="1:27" x14ac:dyDescent="0.35">
      <c r="A20">
        <v>0</v>
      </c>
      <c r="B20">
        <v>3</v>
      </c>
      <c r="C20">
        <v>206788</v>
      </c>
      <c r="D20" t="s">
        <v>0</v>
      </c>
      <c r="E20">
        <v>-2.8374999999999999</v>
      </c>
      <c r="F20">
        <v>-0.21690000000000001</v>
      </c>
      <c r="G20">
        <v>1.8217000000000001</v>
      </c>
      <c r="H20" t="s">
        <v>1</v>
      </c>
      <c r="I20">
        <v>345.2912</v>
      </c>
      <c r="J20">
        <v>241.79650000000001</v>
      </c>
      <c r="K20">
        <v>348.14109999999999</v>
      </c>
      <c r="L20" t="s">
        <v>36</v>
      </c>
      <c r="M20">
        <v>0.85329999999999995</v>
      </c>
      <c r="N20">
        <v>0.16189999999999999</v>
      </c>
      <c r="O20">
        <v>-0.49519999999999997</v>
      </c>
      <c r="P20" t="s">
        <v>3</v>
      </c>
      <c r="Q20">
        <v>-1.5445</v>
      </c>
      <c r="R20">
        <v>-0.1671</v>
      </c>
      <c r="S20">
        <v>0.13730000000000001</v>
      </c>
      <c r="T20">
        <v>344.39179999999999</v>
      </c>
      <c r="U20">
        <v>334.41759999999999</v>
      </c>
      <c r="V20">
        <v>347.74360000000001</v>
      </c>
      <c r="W20" t="s">
        <v>4</v>
      </c>
      <c r="X20" t="s">
        <v>37</v>
      </c>
      <c r="Y20">
        <v>-0.23219999999999999</v>
      </c>
      <c r="Z20">
        <v>-0.13300000000000001</v>
      </c>
      <c r="AA20">
        <v>0.95740000000000003</v>
      </c>
    </row>
    <row r="21" spans="1:27" s="1" customFormat="1" x14ac:dyDescent="0.35">
      <c r="A21" s="1">
        <v>0</v>
      </c>
      <c r="B21" s="1">
        <v>0</v>
      </c>
      <c r="C21" s="1">
        <v>53034</v>
      </c>
      <c r="D21" s="1" t="s">
        <v>0</v>
      </c>
      <c r="E21" s="1">
        <v>-3.4590999999999998</v>
      </c>
      <c r="F21" s="1">
        <v>0.64270000000000005</v>
      </c>
      <c r="G21" s="1">
        <v>-0.49809999999999999</v>
      </c>
      <c r="H21" s="1" t="s">
        <v>1</v>
      </c>
      <c r="I21" s="1">
        <v>357.0498</v>
      </c>
      <c r="J21" s="1">
        <v>130.06970000000001</v>
      </c>
      <c r="K21" s="1">
        <v>1.2593000000000001</v>
      </c>
      <c r="L21" s="1" t="s">
        <v>38</v>
      </c>
      <c r="M21" s="1">
        <v>-0.90629999999999999</v>
      </c>
      <c r="N21" s="1">
        <v>-2.8000000000000001E-2</v>
      </c>
      <c r="O21" s="1">
        <v>-0.42159999999999997</v>
      </c>
      <c r="P21" s="1" t="s">
        <v>3</v>
      </c>
      <c r="Q21" s="1">
        <v>-3.4590999999999998</v>
      </c>
      <c r="R21" s="1">
        <v>0.64270000000000005</v>
      </c>
      <c r="S21" s="1">
        <v>-0.49809999999999999</v>
      </c>
      <c r="T21" s="1">
        <v>357.0498</v>
      </c>
      <c r="U21" s="1">
        <v>130.06970000000001</v>
      </c>
      <c r="V21" s="1">
        <v>1.2593000000000001</v>
      </c>
      <c r="W21" s="1" t="s">
        <v>4</v>
      </c>
      <c r="X21" s="1" t="s">
        <v>39</v>
      </c>
      <c r="Y21" s="1">
        <v>-0.90629999999999999</v>
      </c>
      <c r="Z21" s="1">
        <v>-2.8000000000000001E-2</v>
      </c>
      <c r="AA21" s="1">
        <v>-0.42159999999999997</v>
      </c>
    </row>
    <row r="22" spans="1:27" x14ac:dyDescent="0.35">
      <c r="A22">
        <v>0</v>
      </c>
      <c r="B22">
        <v>1</v>
      </c>
      <c r="C22">
        <v>99037</v>
      </c>
      <c r="D22" t="s">
        <v>0</v>
      </c>
      <c r="E22">
        <v>1.0324</v>
      </c>
      <c r="F22">
        <v>-0.73660000000000003</v>
      </c>
      <c r="G22">
        <v>1.5232000000000001</v>
      </c>
      <c r="H22" t="s">
        <v>1</v>
      </c>
      <c r="I22">
        <v>2.4502000000000002</v>
      </c>
      <c r="J22">
        <v>323.26679999999999</v>
      </c>
      <c r="K22">
        <v>356.35430000000002</v>
      </c>
      <c r="L22" t="s">
        <v>40</v>
      </c>
      <c r="M22">
        <v>-0.31419999999999998</v>
      </c>
      <c r="N22">
        <v>-2.3400000000000001E-2</v>
      </c>
      <c r="O22">
        <v>0.9486</v>
      </c>
      <c r="P22" t="s">
        <v>3</v>
      </c>
      <c r="Q22">
        <v>-2.9417</v>
      </c>
      <c r="R22">
        <v>8.3000000000000001E-3</v>
      </c>
      <c r="S22">
        <v>-2.3031999999999999</v>
      </c>
      <c r="T22">
        <v>0.83589999999999998</v>
      </c>
      <c r="U22">
        <v>93.448499999999996</v>
      </c>
      <c r="V22">
        <v>359.12720000000002</v>
      </c>
      <c r="W22" t="s">
        <v>4</v>
      </c>
      <c r="X22" t="s">
        <v>41</v>
      </c>
      <c r="Y22">
        <v>-0.72809999999999997</v>
      </c>
      <c r="Z22">
        <v>1.0500000000000001E-2</v>
      </c>
      <c r="AA22">
        <v>-0.68540000000000001</v>
      </c>
    </row>
    <row r="23" spans="1:27" x14ac:dyDescent="0.35">
      <c r="A23">
        <v>0</v>
      </c>
      <c r="B23">
        <v>2</v>
      </c>
      <c r="C23">
        <v>174572</v>
      </c>
      <c r="D23" t="s">
        <v>0</v>
      </c>
      <c r="E23">
        <v>2.6598999999999999</v>
      </c>
      <c r="F23">
        <v>0.80520000000000003</v>
      </c>
      <c r="G23">
        <v>0.1116</v>
      </c>
      <c r="H23" t="s">
        <v>1</v>
      </c>
      <c r="I23">
        <v>0.46970000000000001</v>
      </c>
      <c r="J23">
        <v>327.29489999999998</v>
      </c>
      <c r="K23">
        <v>2.8622000000000001</v>
      </c>
      <c r="L23" t="s">
        <v>42</v>
      </c>
      <c r="M23">
        <v>-0.28160000000000002</v>
      </c>
      <c r="N23">
        <v>2.5100000000000001E-2</v>
      </c>
      <c r="O23">
        <v>0.95920000000000005</v>
      </c>
      <c r="P23" t="s">
        <v>3</v>
      </c>
      <c r="Q23">
        <v>-2.9799000000000002</v>
      </c>
      <c r="R23">
        <v>0.77110000000000001</v>
      </c>
      <c r="S23">
        <v>-4.9775999999999998</v>
      </c>
      <c r="T23">
        <v>0.70140000000000002</v>
      </c>
      <c r="U23">
        <v>60.7376</v>
      </c>
      <c r="V23">
        <v>1.6760999999999999</v>
      </c>
      <c r="W23" t="s">
        <v>4</v>
      </c>
      <c r="X23" t="s">
        <v>43</v>
      </c>
      <c r="Y23">
        <v>-0.50539999999999996</v>
      </c>
      <c r="Z23">
        <v>-9.4999999999999998E-3</v>
      </c>
      <c r="AA23">
        <v>-0.86270000000000002</v>
      </c>
    </row>
    <row r="24" spans="1:27" x14ac:dyDescent="0.35">
      <c r="A24">
        <v>0</v>
      </c>
      <c r="B24">
        <v>3</v>
      </c>
      <c r="C24">
        <v>220262</v>
      </c>
      <c r="D24" t="s">
        <v>0</v>
      </c>
      <c r="E24">
        <v>-4.1314000000000002</v>
      </c>
      <c r="F24">
        <v>4.2200000000000001E-2</v>
      </c>
      <c r="G24">
        <v>1.7704</v>
      </c>
      <c r="H24" t="s">
        <v>1</v>
      </c>
      <c r="I24">
        <v>358.54719999999998</v>
      </c>
      <c r="J24">
        <v>69.568200000000004</v>
      </c>
      <c r="K24">
        <v>9.9000000000000008E-3</v>
      </c>
      <c r="L24" t="s">
        <v>44</v>
      </c>
      <c r="M24">
        <v>0.57040000000000002</v>
      </c>
      <c r="N24">
        <v>7.3000000000000001E-3</v>
      </c>
      <c r="O24">
        <v>0.82120000000000004</v>
      </c>
      <c r="P24" t="s">
        <v>3</v>
      </c>
      <c r="Q24">
        <v>-3.4556</v>
      </c>
      <c r="R24">
        <v>0.67090000000000005</v>
      </c>
      <c r="S24">
        <v>-0.5091</v>
      </c>
      <c r="T24">
        <v>357.22199999999998</v>
      </c>
      <c r="U24">
        <v>130.24959999999999</v>
      </c>
      <c r="V24">
        <v>1.2537</v>
      </c>
      <c r="W24" t="s">
        <v>4</v>
      </c>
      <c r="X24" t="s">
        <v>45</v>
      </c>
      <c r="Y24">
        <v>-0.90700000000000003</v>
      </c>
      <c r="Z24">
        <v>-2.6599999999999999E-2</v>
      </c>
      <c r="AA24">
        <v>-0.42030000000000001</v>
      </c>
    </row>
    <row r="25" spans="1:27" x14ac:dyDescent="0.35">
      <c r="A25">
        <v>0</v>
      </c>
      <c r="B25">
        <v>4</v>
      </c>
      <c r="C25">
        <v>273351</v>
      </c>
      <c r="D25" t="s">
        <v>0</v>
      </c>
      <c r="E25">
        <v>-2.6408999999999998</v>
      </c>
      <c r="F25">
        <v>-0.68600000000000005</v>
      </c>
      <c r="G25">
        <v>2.2768000000000002</v>
      </c>
      <c r="H25" t="s">
        <v>1</v>
      </c>
      <c r="I25">
        <v>356.38330000000002</v>
      </c>
      <c r="J25">
        <v>229.46379999999999</v>
      </c>
      <c r="K25">
        <v>358.4425</v>
      </c>
      <c r="L25" t="s">
        <v>38</v>
      </c>
      <c r="M25">
        <v>0.90790000000000004</v>
      </c>
      <c r="N25">
        <v>3.4299999999999997E-2</v>
      </c>
      <c r="O25">
        <v>-0.41770000000000002</v>
      </c>
      <c r="P25" t="s">
        <v>3</v>
      </c>
      <c r="Q25">
        <v>3.8E-3</v>
      </c>
      <c r="R25">
        <v>3.85E-2</v>
      </c>
      <c r="S25">
        <v>2E-3</v>
      </c>
      <c r="T25">
        <v>359.14170000000001</v>
      </c>
      <c r="U25">
        <v>359.69319999999999</v>
      </c>
      <c r="V25">
        <v>359.73939999999999</v>
      </c>
      <c r="W25" t="s">
        <v>4</v>
      </c>
      <c r="X25" t="s">
        <v>46</v>
      </c>
      <c r="Y25">
        <v>-2.7000000000000001E-3</v>
      </c>
      <c r="Z25">
        <v>-2.3E-3</v>
      </c>
      <c r="AA25">
        <v>1</v>
      </c>
    </row>
    <row r="26" spans="1:27" s="1" customFormat="1" x14ac:dyDescent="0.35">
      <c r="A26" s="1">
        <v>0</v>
      </c>
      <c r="B26" s="1">
        <v>0</v>
      </c>
      <c r="C26" s="1">
        <v>39290</v>
      </c>
      <c r="D26" s="1" t="s">
        <v>0</v>
      </c>
      <c r="E26" s="1">
        <v>-3.4565000000000001</v>
      </c>
      <c r="F26" s="1">
        <v>0.62619999999999998</v>
      </c>
      <c r="G26" s="1">
        <v>-0.50180000000000002</v>
      </c>
      <c r="H26" s="1" t="s">
        <v>1</v>
      </c>
      <c r="I26" s="1">
        <v>356.43419999999998</v>
      </c>
      <c r="J26" s="1">
        <v>131.1756</v>
      </c>
      <c r="K26" s="1">
        <v>1.6307</v>
      </c>
      <c r="L26" s="1" t="s">
        <v>19</v>
      </c>
      <c r="M26" s="1">
        <v>-0.91020000000000001</v>
      </c>
      <c r="N26" s="1">
        <v>-3.4200000000000001E-2</v>
      </c>
      <c r="O26" s="1">
        <v>-0.41270000000000001</v>
      </c>
      <c r="P26" s="1" t="s">
        <v>3</v>
      </c>
      <c r="Q26" s="1">
        <v>-3.4565000000000001</v>
      </c>
      <c r="R26" s="1">
        <v>0.62619999999999998</v>
      </c>
      <c r="S26" s="1">
        <v>-0.50180000000000002</v>
      </c>
      <c r="T26" s="1">
        <v>356.43419999999998</v>
      </c>
      <c r="U26" s="1">
        <v>131.1756</v>
      </c>
      <c r="V26" s="1">
        <v>1.6307</v>
      </c>
      <c r="W26" s="1" t="s">
        <v>4</v>
      </c>
      <c r="X26" s="1" t="s">
        <v>8</v>
      </c>
      <c r="Y26" s="1">
        <v>-0.91020000000000001</v>
      </c>
      <c r="Z26" s="1">
        <v>-3.4200000000000001E-2</v>
      </c>
      <c r="AA26" s="1">
        <v>-0.41270000000000001</v>
      </c>
    </row>
    <row r="27" spans="1:27" x14ac:dyDescent="0.35">
      <c r="A27">
        <v>0</v>
      </c>
      <c r="B27">
        <v>1</v>
      </c>
      <c r="C27">
        <v>83952</v>
      </c>
      <c r="D27" t="s">
        <v>0</v>
      </c>
      <c r="E27">
        <v>1.0001</v>
      </c>
      <c r="F27">
        <v>-0.74019999999999997</v>
      </c>
      <c r="G27">
        <v>1.5508</v>
      </c>
      <c r="H27" t="s">
        <v>1</v>
      </c>
      <c r="I27">
        <v>2.4214000000000002</v>
      </c>
      <c r="J27">
        <v>322.65440000000001</v>
      </c>
      <c r="K27">
        <v>356.19060000000002</v>
      </c>
      <c r="L27" t="s">
        <v>47</v>
      </c>
      <c r="M27">
        <v>-0.31919999999999998</v>
      </c>
      <c r="N27">
        <v>-2.47E-2</v>
      </c>
      <c r="O27">
        <v>0.94689999999999996</v>
      </c>
      <c r="P27" t="s">
        <v>3</v>
      </c>
      <c r="Q27">
        <v>-2.9302000000000001</v>
      </c>
      <c r="R27">
        <v>1.26E-2</v>
      </c>
      <c r="S27">
        <v>-2.3182999999999998</v>
      </c>
      <c r="T27">
        <v>0.57079999999999997</v>
      </c>
      <c r="U27">
        <v>93.971100000000007</v>
      </c>
      <c r="V27">
        <v>359.64830000000001</v>
      </c>
      <c r="W27" t="s">
        <v>4</v>
      </c>
      <c r="X27" t="s">
        <v>48</v>
      </c>
      <c r="Y27">
        <v>-0.73119999999999996</v>
      </c>
      <c r="Z27">
        <v>5.7000000000000002E-3</v>
      </c>
      <c r="AA27">
        <v>-0.68220000000000003</v>
      </c>
    </row>
    <row r="28" spans="1:27" x14ac:dyDescent="0.35">
      <c r="A28">
        <v>0</v>
      </c>
      <c r="B28">
        <v>2</v>
      </c>
      <c r="C28">
        <v>119421</v>
      </c>
      <c r="D28" t="s">
        <v>0</v>
      </c>
      <c r="E28">
        <v>-1.7798</v>
      </c>
      <c r="F28">
        <v>0.59619999999999995</v>
      </c>
      <c r="G28">
        <v>-0.65810000000000002</v>
      </c>
      <c r="H28" t="s">
        <v>1</v>
      </c>
      <c r="I28">
        <v>355.74829999999997</v>
      </c>
      <c r="J28">
        <v>37.070099999999996</v>
      </c>
      <c r="K28">
        <v>1.5784</v>
      </c>
      <c r="L28" t="s">
        <v>49</v>
      </c>
      <c r="M28">
        <v>0.31809999999999999</v>
      </c>
      <c r="N28">
        <v>2.4799999999999999E-2</v>
      </c>
      <c r="O28">
        <v>0.94720000000000004</v>
      </c>
      <c r="P28" t="s">
        <v>3</v>
      </c>
      <c r="Q28">
        <v>-3.4577</v>
      </c>
      <c r="R28">
        <v>0.62629999999999997</v>
      </c>
      <c r="S28">
        <v>-0.50129999999999997</v>
      </c>
      <c r="T28">
        <v>356.41579999999999</v>
      </c>
      <c r="U28">
        <v>131.0386</v>
      </c>
      <c r="V28">
        <v>1.6419999999999999</v>
      </c>
      <c r="W28" t="s">
        <v>4</v>
      </c>
      <c r="X28" t="s">
        <v>8</v>
      </c>
      <c r="Y28">
        <v>-0.90969999999999995</v>
      </c>
      <c r="Z28">
        <v>-3.44E-2</v>
      </c>
      <c r="AA28">
        <v>-0.41370000000000001</v>
      </c>
    </row>
    <row r="29" spans="1:27" x14ac:dyDescent="0.35">
      <c r="A29">
        <v>0</v>
      </c>
      <c r="B29">
        <v>3</v>
      </c>
      <c r="C29">
        <v>161253</v>
      </c>
      <c r="D29" t="s">
        <v>0</v>
      </c>
      <c r="E29">
        <v>-2.6595</v>
      </c>
      <c r="F29">
        <v>-0.6724</v>
      </c>
      <c r="G29">
        <v>2.2664</v>
      </c>
      <c r="H29" t="s">
        <v>1</v>
      </c>
      <c r="I29">
        <v>356.4144</v>
      </c>
      <c r="J29">
        <v>228.84010000000001</v>
      </c>
      <c r="K29">
        <v>358.30619999999999</v>
      </c>
      <c r="L29" t="s">
        <v>50</v>
      </c>
      <c r="M29">
        <v>0.91020000000000001</v>
      </c>
      <c r="N29">
        <v>3.4599999999999999E-2</v>
      </c>
      <c r="O29">
        <v>-0.4128</v>
      </c>
      <c r="P29" t="s">
        <v>3</v>
      </c>
      <c r="Q29">
        <v>1.66E-2</v>
      </c>
      <c r="R29">
        <v>2.1000000000000001E-2</v>
      </c>
      <c r="S29">
        <v>-2.6599999999999999E-2</v>
      </c>
      <c r="T29">
        <v>9.2999999999999992E-3</v>
      </c>
      <c r="U29">
        <v>359.87950000000001</v>
      </c>
      <c r="V29">
        <v>359.9246</v>
      </c>
      <c r="W29" t="s">
        <v>4</v>
      </c>
      <c r="X29" t="s">
        <v>14</v>
      </c>
      <c r="Y29">
        <v>-1.1000000000000001E-3</v>
      </c>
      <c r="Z29">
        <v>-6.9999999999999999E-4</v>
      </c>
      <c r="AA29">
        <v>1</v>
      </c>
    </row>
    <row r="30" spans="1:27" s="1" customFormat="1" x14ac:dyDescent="0.35">
      <c r="A30" s="1">
        <v>1</v>
      </c>
      <c r="B30" s="1">
        <v>0</v>
      </c>
      <c r="C30" s="1">
        <v>315773</v>
      </c>
      <c r="D30" s="1" t="s">
        <v>0</v>
      </c>
      <c r="E30" s="1">
        <v>-3.4697</v>
      </c>
      <c r="F30" s="1">
        <v>0.59970000000000001</v>
      </c>
      <c r="G30" s="1">
        <v>-0.50149999999999995</v>
      </c>
      <c r="H30" s="1" t="s">
        <v>1</v>
      </c>
      <c r="I30" s="1">
        <v>356.63510000000002</v>
      </c>
      <c r="J30" s="1">
        <v>131.3203</v>
      </c>
      <c r="K30" s="1">
        <v>1.4436</v>
      </c>
      <c r="L30" s="1" t="s">
        <v>11</v>
      </c>
      <c r="M30" s="1">
        <v>-0.91080000000000005</v>
      </c>
      <c r="N30" s="1">
        <v>-3.1899999999999998E-2</v>
      </c>
      <c r="O30" s="1">
        <v>-0.41160000000000002</v>
      </c>
      <c r="P30" s="1" t="s">
        <v>3</v>
      </c>
      <c r="Q30" s="1">
        <v>-3.4697</v>
      </c>
      <c r="R30" s="1">
        <v>0.59970000000000001</v>
      </c>
      <c r="S30" s="1">
        <v>-0.50149999999999995</v>
      </c>
      <c r="T30" s="1">
        <v>356.63510000000002</v>
      </c>
      <c r="U30" s="1">
        <v>131.3203</v>
      </c>
      <c r="V30" s="1">
        <v>1.4436</v>
      </c>
      <c r="W30" s="1" t="s">
        <v>4</v>
      </c>
      <c r="X30" s="1" t="s">
        <v>51</v>
      </c>
      <c r="Y30" s="1">
        <v>-0.91080000000000005</v>
      </c>
      <c r="Z30" s="1">
        <v>-3.1899999999999998E-2</v>
      </c>
      <c r="AA30" s="1">
        <v>-0.41160000000000002</v>
      </c>
    </row>
    <row r="31" spans="1:27" x14ac:dyDescent="0.35">
      <c r="A31">
        <v>1</v>
      </c>
      <c r="B31">
        <v>1</v>
      </c>
      <c r="C31">
        <v>357992</v>
      </c>
      <c r="D31" t="s">
        <v>0</v>
      </c>
      <c r="E31">
        <v>0.93510000000000004</v>
      </c>
      <c r="F31">
        <v>-0.61739999999999995</v>
      </c>
      <c r="G31">
        <v>1.6426000000000001</v>
      </c>
      <c r="H31" t="s">
        <v>1</v>
      </c>
      <c r="I31">
        <v>2.6842999999999999</v>
      </c>
      <c r="J31">
        <v>322.54090000000002</v>
      </c>
      <c r="K31">
        <v>356.55919999999998</v>
      </c>
      <c r="L31" t="s">
        <v>52</v>
      </c>
      <c r="M31">
        <v>-0.32019999999999998</v>
      </c>
      <c r="N31">
        <v>-2.0899999999999998E-2</v>
      </c>
      <c r="O31">
        <v>0.9466</v>
      </c>
      <c r="P31" t="s">
        <v>3</v>
      </c>
      <c r="Q31">
        <v>-2.8395000000000001</v>
      </c>
      <c r="R31">
        <v>0.10349999999999999</v>
      </c>
      <c r="S31">
        <v>-2.3209</v>
      </c>
      <c r="T31">
        <v>0.88680000000000003</v>
      </c>
      <c r="U31">
        <v>94.003100000000003</v>
      </c>
      <c r="V31">
        <v>359.75040000000001</v>
      </c>
      <c r="W31" t="s">
        <v>4</v>
      </c>
      <c r="X31" t="s">
        <v>53</v>
      </c>
      <c r="Y31">
        <v>-0.73140000000000005</v>
      </c>
      <c r="Z31">
        <v>7.1000000000000004E-3</v>
      </c>
      <c r="AA31">
        <v>-0.68189999999999995</v>
      </c>
    </row>
    <row r="32" spans="1:27" x14ac:dyDescent="0.35">
      <c r="A32">
        <v>1</v>
      </c>
      <c r="B32">
        <v>2</v>
      </c>
      <c r="C32">
        <v>384943</v>
      </c>
      <c r="D32" t="s">
        <v>0</v>
      </c>
      <c r="E32">
        <v>-1.7669999999999999</v>
      </c>
      <c r="F32">
        <v>0.47789999999999999</v>
      </c>
      <c r="G32">
        <v>-0.75160000000000005</v>
      </c>
      <c r="H32" t="s">
        <v>1</v>
      </c>
      <c r="I32">
        <v>355.99990000000003</v>
      </c>
      <c r="J32">
        <v>36.796799999999998</v>
      </c>
      <c r="K32">
        <v>1.2013</v>
      </c>
      <c r="L32" t="s">
        <v>54</v>
      </c>
      <c r="M32">
        <v>0.31580000000000003</v>
      </c>
      <c r="N32">
        <v>2.1000000000000001E-2</v>
      </c>
      <c r="O32">
        <v>0.94810000000000005</v>
      </c>
      <c r="P32" t="s">
        <v>3</v>
      </c>
      <c r="Q32">
        <v>-3.4584000000000001</v>
      </c>
      <c r="R32">
        <v>0.60070000000000001</v>
      </c>
      <c r="S32">
        <v>-0.50839999999999996</v>
      </c>
      <c r="T32">
        <v>356.85950000000003</v>
      </c>
      <c r="U32">
        <v>130.78120000000001</v>
      </c>
      <c r="V32">
        <v>1.5330999999999999</v>
      </c>
      <c r="W32" t="s">
        <v>4</v>
      </c>
      <c r="X32" t="s">
        <v>35</v>
      </c>
      <c r="Y32">
        <v>-0.90890000000000004</v>
      </c>
      <c r="Z32">
        <v>-3.0499999999999999E-2</v>
      </c>
      <c r="AA32">
        <v>-0.41589999999999999</v>
      </c>
    </row>
    <row r="33" spans="1:27" x14ac:dyDescent="0.35">
      <c r="A33">
        <v>1</v>
      </c>
      <c r="B33">
        <v>3</v>
      </c>
      <c r="C33">
        <v>428804</v>
      </c>
      <c r="D33" t="s">
        <v>0</v>
      </c>
      <c r="E33">
        <v>-2.6615000000000002</v>
      </c>
      <c r="F33">
        <v>-0.68069999999999997</v>
      </c>
      <c r="G33">
        <v>2.2528000000000001</v>
      </c>
      <c r="H33" t="s">
        <v>1</v>
      </c>
      <c r="I33">
        <v>356.42809999999997</v>
      </c>
      <c r="J33">
        <v>228.67179999999999</v>
      </c>
      <c r="K33">
        <v>358.40980000000002</v>
      </c>
      <c r="L33" t="s">
        <v>55</v>
      </c>
      <c r="M33">
        <v>0.91080000000000005</v>
      </c>
      <c r="N33">
        <v>3.4099999999999998E-2</v>
      </c>
      <c r="O33">
        <v>-0.41149999999999998</v>
      </c>
      <c r="P33" t="s">
        <v>3</v>
      </c>
      <c r="Q33">
        <v>1.9E-3</v>
      </c>
      <c r="R33">
        <v>-2.64E-2</v>
      </c>
      <c r="S33">
        <v>-3.8E-3</v>
      </c>
      <c r="T33">
        <v>359.65300000000002</v>
      </c>
      <c r="U33">
        <v>359.44900000000001</v>
      </c>
      <c r="V33">
        <v>359.75639999999999</v>
      </c>
      <c r="W33" t="s">
        <v>4</v>
      </c>
      <c r="X33" t="s">
        <v>56</v>
      </c>
      <c r="Y33">
        <v>-4.7999999999999996E-3</v>
      </c>
      <c r="Z33">
        <v>-2.0999999999999999E-3</v>
      </c>
      <c r="AA33">
        <v>1</v>
      </c>
    </row>
    <row r="34" spans="1:27" s="1" customFormat="1" x14ac:dyDescent="0.35">
      <c r="A34" s="1">
        <v>2</v>
      </c>
      <c r="B34" s="1">
        <v>0</v>
      </c>
      <c r="C34" s="1">
        <v>549861</v>
      </c>
      <c r="D34" s="1" t="s">
        <v>0</v>
      </c>
      <c r="E34" s="1">
        <v>-3.4605999999999999</v>
      </c>
      <c r="F34" s="1">
        <v>0.63970000000000005</v>
      </c>
      <c r="G34" s="1">
        <v>-0.48359999999999997</v>
      </c>
      <c r="H34" s="1" t="s">
        <v>1</v>
      </c>
      <c r="I34" s="1">
        <v>356.8417</v>
      </c>
      <c r="J34" s="1">
        <v>130.92699999999999</v>
      </c>
      <c r="K34" s="1">
        <v>1.5819000000000001</v>
      </c>
      <c r="L34" s="1" t="s">
        <v>57</v>
      </c>
      <c r="M34" s="1">
        <v>-0.90939999999999999</v>
      </c>
      <c r="N34" s="1">
        <v>-3.0800000000000001E-2</v>
      </c>
      <c r="O34" s="1">
        <v>-0.41470000000000001</v>
      </c>
      <c r="P34" s="1" t="s">
        <v>3</v>
      </c>
      <c r="Q34" s="1">
        <v>-3.4605999999999999</v>
      </c>
      <c r="R34" s="1">
        <v>0.63970000000000005</v>
      </c>
      <c r="S34" s="1">
        <v>-0.48359999999999997</v>
      </c>
      <c r="T34" s="1">
        <v>356.8417</v>
      </c>
      <c r="U34" s="1">
        <v>130.92699999999999</v>
      </c>
      <c r="V34" s="1">
        <v>1.5819000000000001</v>
      </c>
      <c r="W34" s="1" t="s">
        <v>4</v>
      </c>
      <c r="X34" s="1" t="s">
        <v>58</v>
      </c>
      <c r="Y34" s="1">
        <v>-0.90939999999999999</v>
      </c>
      <c r="Z34" s="1">
        <v>-3.0800000000000001E-2</v>
      </c>
      <c r="AA34" s="1">
        <v>-0.41470000000000001</v>
      </c>
    </row>
    <row r="35" spans="1:27" x14ac:dyDescent="0.35">
      <c r="A35">
        <v>2</v>
      </c>
      <c r="B35">
        <v>1</v>
      </c>
      <c r="C35">
        <v>583696</v>
      </c>
      <c r="D35" t="s">
        <v>0</v>
      </c>
      <c r="E35">
        <v>1.0069999999999999</v>
      </c>
      <c r="F35">
        <v>-0.74560000000000004</v>
      </c>
      <c r="G35">
        <v>1.5397000000000001</v>
      </c>
      <c r="H35" t="s">
        <v>1</v>
      </c>
      <c r="I35">
        <v>2.3994</v>
      </c>
      <c r="J35">
        <v>322.30759999999998</v>
      </c>
      <c r="K35">
        <v>356.62130000000002</v>
      </c>
      <c r="L35" t="s">
        <v>59</v>
      </c>
      <c r="M35">
        <v>-0.32219999999999999</v>
      </c>
      <c r="N35">
        <v>-2.1100000000000001E-2</v>
      </c>
      <c r="O35">
        <v>0.94599999999999995</v>
      </c>
      <c r="P35" t="s">
        <v>3</v>
      </c>
      <c r="Q35">
        <v>-2.9420999999999999</v>
      </c>
      <c r="R35">
        <v>8.0000000000000002E-3</v>
      </c>
      <c r="S35">
        <v>-2.2926000000000002</v>
      </c>
      <c r="T35">
        <v>0.86319999999999997</v>
      </c>
      <c r="U35">
        <v>93.368799999999993</v>
      </c>
      <c r="V35">
        <v>359.803</v>
      </c>
      <c r="W35" t="s">
        <v>4</v>
      </c>
      <c r="X35" t="s">
        <v>60</v>
      </c>
      <c r="Y35">
        <v>-0.72760000000000002</v>
      </c>
      <c r="Z35">
        <v>6.7000000000000002E-3</v>
      </c>
      <c r="AA35">
        <v>-0.68600000000000005</v>
      </c>
    </row>
    <row r="36" spans="1:27" x14ac:dyDescent="0.35">
      <c r="A36">
        <v>2</v>
      </c>
      <c r="B36">
        <v>2</v>
      </c>
      <c r="C36">
        <v>627575</v>
      </c>
      <c r="D36" t="s">
        <v>0</v>
      </c>
      <c r="E36">
        <v>2.6585000000000001</v>
      </c>
      <c r="F36">
        <v>0.81969999999999998</v>
      </c>
      <c r="G36">
        <v>0.10589999999999999</v>
      </c>
      <c r="H36" t="s">
        <v>1</v>
      </c>
      <c r="I36">
        <v>0.66410000000000002</v>
      </c>
      <c r="J36">
        <v>326.73079999999999</v>
      </c>
      <c r="K36">
        <v>3.3904999999999998</v>
      </c>
      <c r="L36" t="s">
        <v>61</v>
      </c>
      <c r="M36">
        <v>-0.2863</v>
      </c>
      <c r="N36">
        <v>0.03</v>
      </c>
      <c r="O36">
        <v>0.9577</v>
      </c>
      <c r="P36" t="s">
        <v>3</v>
      </c>
      <c r="Q36">
        <v>-2.9805999999999999</v>
      </c>
      <c r="R36">
        <v>0.81689999999999996</v>
      </c>
      <c r="S36">
        <v>-4.9562999999999997</v>
      </c>
      <c r="T36">
        <v>1.2777000000000001</v>
      </c>
      <c r="U36">
        <v>60.090299999999999</v>
      </c>
      <c r="V36">
        <v>2.7522000000000002</v>
      </c>
      <c r="W36" t="s">
        <v>4</v>
      </c>
      <c r="X36" t="s">
        <v>62</v>
      </c>
      <c r="Y36">
        <v>-0.50029999999999997</v>
      </c>
      <c r="Z36">
        <v>-1.52E-2</v>
      </c>
      <c r="AA36">
        <v>-0.86550000000000005</v>
      </c>
    </row>
    <row r="37" spans="1:27" x14ac:dyDescent="0.35">
      <c r="A37">
        <v>2</v>
      </c>
      <c r="B37">
        <v>3</v>
      </c>
      <c r="C37">
        <v>657813</v>
      </c>
      <c r="D37" t="s">
        <v>0</v>
      </c>
      <c r="E37">
        <v>-2.3311999999999999</v>
      </c>
      <c r="F37">
        <v>-0.66790000000000005</v>
      </c>
      <c r="G37">
        <v>1.3729</v>
      </c>
      <c r="H37" t="s">
        <v>1</v>
      </c>
      <c r="I37">
        <v>0.99060000000000004</v>
      </c>
      <c r="J37">
        <v>33.625500000000002</v>
      </c>
      <c r="K37">
        <v>356.8313</v>
      </c>
      <c r="L37" t="s">
        <v>63</v>
      </c>
      <c r="M37">
        <v>0.28939999999999999</v>
      </c>
      <c r="N37">
        <v>-2.9000000000000001E-2</v>
      </c>
      <c r="O37">
        <v>0.95679999999999998</v>
      </c>
      <c r="P37" t="s">
        <v>3</v>
      </c>
      <c r="Q37">
        <v>-2.9510000000000001</v>
      </c>
      <c r="R37">
        <v>7.4000000000000003E-3</v>
      </c>
      <c r="S37">
        <v>-2.2898999999999998</v>
      </c>
      <c r="T37">
        <v>0.53</v>
      </c>
      <c r="U37">
        <v>93.724900000000005</v>
      </c>
      <c r="V37">
        <v>359.83049999999997</v>
      </c>
      <c r="W37" t="s">
        <v>4</v>
      </c>
      <c r="X37" t="s">
        <v>64</v>
      </c>
      <c r="Y37">
        <v>-0.72970000000000002</v>
      </c>
      <c r="Z37">
        <v>4.4000000000000003E-3</v>
      </c>
      <c r="AA37">
        <v>-0.68369999999999997</v>
      </c>
    </row>
    <row r="38" spans="1:27" x14ac:dyDescent="0.35">
      <c r="A38">
        <v>2</v>
      </c>
      <c r="B38">
        <v>4</v>
      </c>
      <c r="C38">
        <v>702121</v>
      </c>
      <c r="D38" t="s">
        <v>0</v>
      </c>
      <c r="E38">
        <v>-2.4752999999999998</v>
      </c>
      <c r="F38">
        <v>2.63E-2</v>
      </c>
      <c r="G38">
        <v>2.7810000000000001</v>
      </c>
      <c r="H38" t="s">
        <v>1</v>
      </c>
      <c r="I38">
        <v>0.56159999999999999</v>
      </c>
      <c r="J38">
        <v>265.06079999999997</v>
      </c>
      <c r="K38">
        <v>0.86040000000000005</v>
      </c>
      <c r="L38" t="s">
        <v>65</v>
      </c>
      <c r="M38">
        <v>0.7369</v>
      </c>
      <c r="N38">
        <v>-8.6999999999999994E-3</v>
      </c>
      <c r="O38">
        <v>-0.67589999999999995</v>
      </c>
      <c r="P38" t="s">
        <v>3</v>
      </c>
      <c r="Q38">
        <v>-1.49E-2</v>
      </c>
      <c r="R38">
        <v>1.52E-2</v>
      </c>
      <c r="S38">
        <v>-5.9999999999999995E-4</v>
      </c>
      <c r="T38">
        <v>0.34710000000000002</v>
      </c>
      <c r="U38">
        <v>358.7824</v>
      </c>
      <c r="V38">
        <v>0.34689999999999999</v>
      </c>
      <c r="W38" t="s">
        <v>4</v>
      </c>
      <c r="X38" t="s">
        <v>66</v>
      </c>
      <c r="Y38">
        <v>-1.06E-2</v>
      </c>
      <c r="Z38">
        <v>3.0999999999999999E-3</v>
      </c>
      <c r="AA38">
        <v>0.99990000000000001</v>
      </c>
    </row>
    <row r="39" spans="1:27" s="1" customFormat="1" x14ac:dyDescent="0.35">
      <c r="A39" s="1">
        <v>3</v>
      </c>
      <c r="B39" s="1">
        <v>0</v>
      </c>
      <c r="C39" s="1">
        <v>885289</v>
      </c>
      <c r="D39" s="1" t="s">
        <v>0</v>
      </c>
      <c r="E39" s="1">
        <v>-3.452</v>
      </c>
      <c r="F39" s="1">
        <v>0.66220000000000001</v>
      </c>
      <c r="G39" s="1">
        <v>-0.52059999999999995</v>
      </c>
      <c r="H39" s="1" t="s">
        <v>1</v>
      </c>
      <c r="I39" s="1">
        <v>356.00240000000002</v>
      </c>
      <c r="J39" s="1">
        <v>131.96430000000001</v>
      </c>
      <c r="K39" s="1">
        <v>1.4293</v>
      </c>
      <c r="L39" s="1" t="s">
        <v>67</v>
      </c>
      <c r="M39" s="1">
        <v>-0.91300000000000003</v>
      </c>
      <c r="N39" s="1">
        <v>-3.6900000000000002E-2</v>
      </c>
      <c r="O39" s="1">
        <v>-0.40629999999999999</v>
      </c>
      <c r="P39" s="1" t="s">
        <v>3</v>
      </c>
      <c r="Q39" s="1">
        <v>-3.452</v>
      </c>
      <c r="R39" s="1">
        <v>0.66220000000000001</v>
      </c>
      <c r="S39" s="1">
        <v>-0.52059999999999995</v>
      </c>
      <c r="T39" s="1">
        <v>356.00240000000002</v>
      </c>
      <c r="U39" s="1">
        <v>131.96430000000001</v>
      </c>
      <c r="V39" s="1">
        <v>1.4293</v>
      </c>
      <c r="W39" s="1" t="s">
        <v>4</v>
      </c>
      <c r="X39" s="1" t="s">
        <v>68</v>
      </c>
      <c r="Y39" s="1">
        <v>-0.91300000000000003</v>
      </c>
      <c r="Z39" s="1">
        <v>-3.6900000000000002E-2</v>
      </c>
      <c r="AA39" s="1">
        <v>-0.40629999999999999</v>
      </c>
    </row>
    <row r="40" spans="1:27" x14ac:dyDescent="0.35">
      <c r="A40">
        <v>3</v>
      </c>
      <c r="B40">
        <v>1</v>
      </c>
      <c r="C40">
        <v>955498</v>
      </c>
      <c r="D40" t="s">
        <v>0</v>
      </c>
      <c r="E40">
        <v>0.95860000000000001</v>
      </c>
      <c r="F40">
        <v>-0.73870000000000002</v>
      </c>
      <c r="G40">
        <v>1.5753999999999999</v>
      </c>
      <c r="H40" t="s">
        <v>1</v>
      </c>
      <c r="I40">
        <v>2.7683</v>
      </c>
      <c r="J40">
        <v>320.92840000000001</v>
      </c>
      <c r="K40">
        <v>356.05529999999999</v>
      </c>
      <c r="L40" t="s">
        <v>69</v>
      </c>
      <c r="M40">
        <v>-0.33329999999999999</v>
      </c>
      <c r="N40">
        <v>-2.4400000000000002E-2</v>
      </c>
      <c r="O40">
        <v>0.94189999999999996</v>
      </c>
      <c r="P40" t="s">
        <v>3</v>
      </c>
      <c r="Q40">
        <v>-2.8995000000000002</v>
      </c>
      <c r="R40">
        <v>5.9200000000000003E-2</v>
      </c>
      <c r="S40">
        <v>-2.331</v>
      </c>
      <c r="T40">
        <v>0.55979999999999996</v>
      </c>
      <c r="U40">
        <v>93.047899999999998</v>
      </c>
      <c r="V40">
        <v>359.6823</v>
      </c>
      <c r="W40" t="s">
        <v>4</v>
      </c>
      <c r="X40" t="s">
        <v>70</v>
      </c>
      <c r="Y40">
        <v>-0.72570000000000001</v>
      </c>
      <c r="Z40">
        <v>5.4999999999999997E-3</v>
      </c>
      <c r="AA40">
        <v>-0.68799999999999994</v>
      </c>
    </row>
    <row r="41" spans="1:27" x14ac:dyDescent="0.35">
      <c r="A41">
        <v>3</v>
      </c>
      <c r="B41">
        <v>2</v>
      </c>
      <c r="C41">
        <v>1011454</v>
      </c>
      <c r="D41" t="s">
        <v>0</v>
      </c>
      <c r="E41">
        <v>2.6629999999999998</v>
      </c>
      <c r="F41">
        <v>0.80279999999999996</v>
      </c>
      <c r="G41">
        <v>0.11609999999999999</v>
      </c>
      <c r="H41" t="s">
        <v>1</v>
      </c>
      <c r="I41">
        <v>1.0002</v>
      </c>
      <c r="J41">
        <v>326.63409999999999</v>
      </c>
      <c r="K41">
        <v>2.9342999999999999</v>
      </c>
      <c r="L41" t="s">
        <v>71</v>
      </c>
      <c r="M41">
        <v>-0.28720000000000001</v>
      </c>
      <c r="N41">
        <v>2.7E-2</v>
      </c>
      <c r="O41">
        <v>0.95750000000000002</v>
      </c>
      <c r="P41" t="s">
        <v>3</v>
      </c>
      <c r="Q41">
        <v>-2.9176000000000002</v>
      </c>
      <c r="R41">
        <v>0.84599999999999997</v>
      </c>
      <c r="S41">
        <v>-5.0011999999999999</v>
      </c>
      <c r="T41">
        <v>1.2928999999999999</v>
      </c>
      <c r="U41">
        <v>59.6721</v>
      </c>
      <c r="V41">
        <v>2.3609</v>
      </c>
      <c r="W41" t="s">
        <v>4</v>
      </c>
      <c r="X41" t="s">
        <v>72</v>
      </c>
      <c r="Y41">
        <v>-0.49719999999999998</v>
      </c>
      <c r="Z41">
        <v>-1.23E-2</v>
      </c>
      <c r="AA41">
        <v>-0.86729999999999996</v>
      </c>
    </row>
    <row r="42" spans="1:27" x14ac:dyDescent="0.35">
      <c r="A42">
        <v>3</v>
      </c>
      <c r="B42">
        <v>3</v>
      </c>
      <c r="C42">
        <v>1042039</v>
      </c>
      <c r="D42" t="s">
        <v>0</v>
      </c>
      <c r="E42">
        <v>-2.3208000000000002</v>
      </c>
      <c r="F42">
        <v>-0.6633</v>
      </c>
      <c r="G42">
        <v>1.3829</v>
      </c>
      <c r="H42" t="s">
        <v>1</v>
      </c>
      <c r="I42">
        <v>0.89259999999999995</v>
      </c>
      <c r="J42">
        <v>33.3078</v>
      </c>
      <c r="K42">
        <v>356.9708</v>
      </c>
      <c r="L42" t="s">
        <v>19</v>
      </c>
      <c r="M42">
        <v>0.28670000000000001</v>
      </c>
      <c r="N42">
        <v>-2.76E-2</v>
      </c>
      <c r="O42">
        <v>0.95760000000000001</v>
      </c>
      <c r="P42" t="s">
        <v>3</v>
      </c>
      <c r="Q42">
        <v>-2.8961000000000001</v>
      </c>
      <c r="R42">
        <v>5.6599999999999998E-2</v>
      </c>
      <c r="S42">
        <v>-2.3338000000000001</v>
      </c>
      <c r="T42">
        <v>0.67630000000000001</v>
      </c>
      <c r="U42">
        <v>92.99</v>
      </c>
      <c r="V42">
        <v>359.654</v>
      </c>
      <c r="W42" t="s">
        <v>4</v>
      </c>
      <c r="X42" t="s">
        <v>73</v>
      </c>
      <c r="Y42">
        <v>-0.72529999999999994</v>
      </c>
      <c r="Z42">
        <v>6.4000000000000003E-3</v>
      </c>
      <c r="AA42">
        <v>-0.68840000000000001</v>
      </c>
    </row>
    <row r="43" spans="1:27" x14ac:dyDescent="0.35">
      <c r="A43">
        <v>3</v>
      </c>
      <c r="B43">
        <v>4</v>
      </c>
      <c r="C43">
        <v>1094766</v>
      </c>
      <c r="D43" t="s">
        <v>0</v>
      </c>
      <c r="E43">
        <v>-2.4603999999999999</v>
      </c>
      <c r="F43">
        <v>2.4500000000000001E-2</v>
      </c>
      <c r="G43">
        <v>2.7957000000000001</v>
      </c>
      <c r="H43" t="s">
        <v>1</v>
      </c>
      <c r="I43">
        <v>0.28660000000000002</v>
      </c>
      <c r="J43">
        <v>266.346</v>
      </c>
      <c r="K43">
        <v>0.38600000000000001</v>
      </c>
      <c r="L43" t="s">
        <v>2</v>
      </c>
      <c r="M43">
        <v>0.72929999999999995</v>
      </c>
      <c r="N43">
        <v>-4.1000000000000003E-3</v>
      </c>
      <c r="O43">
        <v>-0.68420000000000003</v>
      </c>
      <c r="P43" t="s">
        <v>3</v>
      </c>
      <c r="Q43">
        <v>2.4299999999999999E-2</v>
      </c>
      <c r="R43">
        <v>6.3E-2</v>
      </c>
      <c r="S43">
        <v>-2.2800000000000001E-2</v>
      </c>
      <c r="T43">
        <v>359.8981</v>
      </c>
      <c r="U43">
        <v>359.33690000000001</v>
      </c>
      <c r="V43">
        <v>359.73320000000001</v>
      </c>
      <c r="W43" t="s">
        <v>4</v>
      </c>
      <c r="X43" t="s">
        <v>74</v>
      </c>
      <c r="Y43">
        <v>-5.7999999999999996E-3</v>
      </c>
      <c r="Z43">
        <v>-2.3E-3</v>
      </c>
      <c r="AA43">
        <v>1</v>
      </c>
    </row>
    <row r="44" spans="1:27" s="1" customFormat="1" x14ac:dyDescent="0.35">
      <c r="A44" s="1">
        <v>4</v>
      </c>
      <c r="B44" s="1">
        <v>0</v>
      </c>
      <c r="C44" s="1">
        <v>1218958</v>
      </c>
      <c r="D44" s="1" t="s">
        <v>0</v>
      </c>
      <c r="E44" s="1">
        <v>-3.4519000000000002</v>
      </c>
      <c r="F44" s="1">
        <v>0.96130000000000004</v>
      </c>
      <c r="G44" s="1">
        <v>-0.87570000000000003</v>
      </c>
      <c r="H44" s="1" t="s">
        <v>1</v>
      </c>
      <c r="I44" s="1">
        <v>353.94240000000002</v>
      </c>
      <c r="J44" s="1">
        <v>120.4888</v>
      </c>
      <c r="K44" s="1">
        <v>11.0435</v>
      </c>
      <c r="L44" s="1" t="s">
        <v>75</v>
      </c>
      <c r="M44" s="1">
        <v>-0.86539999999999995</v>
      </c>
      <c r="N44" s="1">
        <v>-9.3299999999999994E-2</v>
      </c>
      <c r="O44" s="1">
        <v>-0.4889</v>
      </c>
      <c r="P44" s="1" t="s">
        <v>3</v>
      </c>
      <c r="Q44" s="1">
        <v>-3.4519000000000002</v>
      </c>
      <c r="R44" s="1">
        <v>0.96130000000000004</v>
      </c>
      <c r="S44" s="1">
        <v>-0.87570000000000003</v>
      </c>
      <c r="T44" s="1">
        <v>353.94240000000002</v>
      </c>
      <c r="U44" s="1">
        <v>120.4888</v>
      </c>
      <c r="V44" s="1">
        <v>11.0435</v>
      </c>
      <c r="W44" s="1" t="s">
        <v>4</v>
      </c>
      <c r="X44" s="1" t="s">
        <v>76</v>
      </c>
      <c r="Y44" s="1">
        <v>-0.86539999999999995</v>
      </c>
      <c r="Z44" s="1">
        <v>-9.3299999999999994E-2</v>
      </c>
      <c r="AA44" s="1">
        <v>-0.4889</v>
      </c>
    </row>
    <row r="45" spans="1:27" x14ac:dyDescent="0.35">
      <c r="A45">
        <v>4</v>
      </c>
      <c r="B45">
        <v>1</v>
      </c>
      <c r="C45">
        <v>1276019</v>
      </c>
      <c r="D45" t="s">
        <v>0</v>
      </c>
      <c r="E45">
        <v>1.0208999999999999</v>
      </c>
      <c r="F45">
        <v>-0.71840000000000004</v>
      </c>
      <c r="G45">
        <v>1.5515000000000001</v>
      </c>
      <c r="H45" t="s">
        <v>1</v>
      </c>
      <c r="I45">
        <v>2.8102</v>
      </c>
      <c r="J45">
        <v>322.93079999999998</v>
      </c>
      <c r="K45">
        <v>356.31</v>
      </c>
      <c r="L45" t="s">
        <v>77</v>
      </c>
      <c r="M45">
        <v>-0.31690000000000002</v>
      </c>
      <c r="N45">
        <v>-2.2700000000000001E-2</v>
      </c>
      <c r="O45">
        <v>0.9476</v>
      </c>
      <c r="P45" t="s">
        <v>3</v>
      </c>
      <c r="Q45">
        <v>-2.6541999999999999</v>
      </c>
      <c r="R45">
        <v>0.61829999999999996</v>
      </c>
      <c r="S45">
        <v>-2.6678000000000002</v>
      </c>
      <c r="T45">
        <v>4.4984999999999999</v>
      </c>
      <c r="U45">
        <v>84.805000000000007</v>
      </c>
      <c r="V45">
        <v>8.7996999999999996</v>
      </c>
      <c r="W45" t="s">
        <v>4</v>
      </c>
      <c r="X45" t="s">
        <v>78</v>
      </c>
      <c r="Y45">
        <v>-0.66959999999999997</v>
      </c>
      <c r="Z45">
        <v>-3.0200000000000001E-2</v>
      </c>
      <c r="AA45">
        <v>-0.73770000000000002</v>
      </c>
    </row>
    <row r="46" spans="1:27" x14ac:dyDescent="0.35">
      <c r="A46">
        <v>4</v>
      </c>
      <c r="B46">
        <v>2</v>
      </c>
      <c r="C46">
        <v>1325330</v>
      </c>
      <c r="D46" t="s">
        <v>0</v>
      </c>
      <c r="E46">
        <v>0</v>
      </c>
      <c r="F46">
        <v>0</v>
      </c>
      <c r="G46">
        <v>0</v>
      </c>
      <c r="H46" t="s">
        <v>1</v>
      </c>
      <c r="I46">
        <v>358.09820000000002</v>
      </c>
      <c r="J46">
        <v>5.7000000000000002E-3</v>
      </c>
      <c r="K46">
        <v>-5.7000000000000002E-3</v>
      </c>
      <c r="L46" t="s">
        <v>79</v>
      </c>
      <c r="M46">
        <v>0</v>
      </c>
      <c r="N46">
        <v>0</v>
      </c>
      <c r="O46">
        <v>0.99990000000000001</v>
      </c>
      <c r="P46" t="s">
        <v>3</v>
      </c>
      <c r="Q46">
        <v>-2.6541999999999999</v>
      </c>
      <c r="R46">
        <v>0.61829999999999996</v>
      </c>
      <c r="S46">
        <v>-2.6678000000000002</v>
      </c>
      <c r="T46">
        <v>2.6183000000000001</v>
      </c>
      <c r="U46">
        <v>84.519499999999994</v>
      </c>
      <c r="V46">
        <v>8.7764000000000006</v>
      </c>
      <c r="W46" t="s">
        <v>4</v>
      </c>
      <c r="X46" t="s">
        <v>80</v>
      </c>
      <c r="Y46">
        <v>-0.66910000000000003</v>
      </c>
      <c r="Z46">
        <v>-4.1300000000000003E-2</v>
      </c>
      <c r="AA46">
        <v>-0.7389</v>
      </c>
    </row>
    <row r="47" spans="1:27" x14ac:dyDescent="0.35">
      <c r="A47">
        <v>4</v>
      </c>
      <c r="B47">
        <v>3</v>
      </c>
      <c r="C47">
        <v>1394768</v>
      </c>
      <c r="D47" t="s">
        <v>0</v>
      </c>
      <c r="E47">
        <v>2.1684999999999999</v>
      </c>
      <c r="F47">
        <v>-0.1171</v>
      </c>
      <c r="G47">
        <v>3.2970000000000002</v>
      </c>
      <c r="H47" t="s">
        <v>1</v>
      </c>
      <c r="I47">
        <v>1.2908999999999999</v>
      </c>
      <c r="J47">
        <v>263.92540000000002</v>
      </c>
      <c r="K47">
        <v>1.1158999999999999</v>
      </c>
      <c r="L47" t="s">
        <v>63</v>
      </c>
      <c r="M47">
        <v>-0.74360000000000004</v>
      </c>
      <c r="N47">
        <v>1.49E-2</v>
      </c>
      <c r="O47">
        <v>0.66849999999999998</v>
      </c>
      <c r="P47" t="s">
        <v>3</v>
      </c>
      <c r="Q47">
        <v>0.84050000000000002</v>
      </c>
      <c r="R47">
        <v>0.68259999999999998</v>
      </c>
      <c r="S47">
        <v>-4.5034000000000001</v>
      </c>
      <c r="T47">
        <v>9.7258999999999993</v>
      </c>
      <c r="U47">
        <v>347.89920000000001</v>
      </c>
      <c r="V47">
        <v>357.53530000000001</v>
      </c>
      <c r="W47" t="s">
        <v>4</v>
      </c>
      <c r="X47" t="s">
        <v>81</v>
      </c>
      <c r="Y47">
        <v>0.1032</v>
      </c>
      <c r="Z47">
        <v>1.24E-2</v>
      </c>
      <c r="AA47">
        <v>-0.99080000000000001</v>
      </c>
    </row>
    <row r="48" spans="1:27" x14ac:dyDescent="0.35">
      <c r="A48">
        <v>4</v>
      </c>
      <c r="B48">
        <v>4</v>
      </c>
      <c r="C48">
        <v>1434846</v>
      </c>
      <c r="D48" t="s">
        <v>0</v>
      </c>
      <c r="E48">
        <v>2.1972</v>
      </c>
      <c r="F48">
        <v>0.27710000000000001</v>
      </c>
      <c r="G48">
        <v>0.9647</v>
      </c>
      <c r="H48" t="s">
        <v>1</v>
      </c>
      <c r="I48">
        <v>350.14690000000002</v>
      </c>
      <c r="J48">
        <v>310.45699999999999</v>
      </c>
      <c r="K48">
        <v>359.76639999999998</v>
      </c>
      <c r="L48" t="s">
        <v>82</v>
      </c>
      <c r="M48">
        <v>-0.41760000000000003</v>
      </c>
      <c r="N48">
        <v>-3.78E-2</v>
      </c>
      <c r="O48">
        <v>0.90459999999999996</v>
      </c>
      <c r="P48" t="s">
        <v>3</v>
      </c>
      <c r="Q48">
        <v>2.7928000000000002</v>
      </c>
      <c r="R48">
        <v>0.69940000000000002</v>
      </c>
      <c r="S48">
        <v>-3.0809000000000002</v>
      </c>
      <c r="T48">
        <v>354.70510000000002</v>
      </c>
      <c r="U48">
        <v>299.7577</v>
      </c>
      <c r="V48">
        <v>350.75029999999998</v>
      </c>
      <c r="W48" t="s">
        <v>4</v>
      </c>
      <c r="X48" t="s">
        <v>83</v>
      </c>
      <c r="Y48">
        <v>0.50290000000000001</v>
      </c>
      <c r="Z48">
        <v>9.2799999999999994E-2</v>
      </c>
      <c r="AA48">
        <v>-0.85940000000000005</v>
      </c>
    </row>
    <row r="49" spans="1:27" x14ac:dyDescent="0.35">
      <c r="A49">
        <v>4</v>
      </c>
      <c r="B49">
        <v>5</v>
      </c>
      <c r="C49">
        <v>1482703</v>
      </c>
      <c r="D49" t="s">
        <v>0</v>
      </c>
      <c r="E49">
        <v>2.9238</v>
      </c>
      <c r="F49">
        <v>-1.0764</v>
      </c>
      <c r="G49">
        <v>2.1082999999999998</v>
      </c>
      <c r="H49" t="s">
        <v>1</v>
      </c>
      <c r="I49">
        <v>356.9307</v>
      </c>
      <c r="J49">
        <v>86.941900000000004</v>
      </c>
      <c r="K49">
        <v>7.9847999999999999</v>
      </c>
      <c r="L49" t="s">
        <v>84</v>
      </c>
      <c r="M49">
        <v>0.68740000000000001</v>
      </c>
      <c r="N49">
        <v>6.8900000000000003E-2</v>
      </c>
      <c r="O49">
        <v>0.72240000000000004</v>
      </c>
      <c r="P49" t="s">
        <v>3</v>
      </c>
      <c r="Q49">
        <v>2.194</v>
      </c>
      <c r="R49">
        <v>-0.63190000000000002</v>
      </c>
      <c r="S49">
        <v>0.38619999999999999</v>
      </c>
      <c r="T49">
        <v>5.8575999999999997</v>
      </c>
      <c r="U49">
        <v>26.129000000000001</v>
      </c>
      <c r="V49">
        <v>2.1755</v>
      </c>
      <c r="W49" t="s">
        <v>4</v>
      </c>
      <c r="X49" t="s">
        <v>85</v>
      </c>
      <c r="Y49">
        <v>-0.2248</v>
      </c>
      <c r="Z49">
        <v>-6.8999999999999999E-3</v>
      </c>
      <c r="AA49">
        <v>-0.97289999999999999</v>
      </c>
    </row>
    <row r="50" spans="1:27" s="1" customFormat="1" x14ac:dyDescent="0.35">
      <c r="A50" s="1">
        <v>0</v>
      </c>
      <c r="B50" s="1">
        <v>0</v>
      </c>
      <c r="C50" s="1">
        <v>53605</v>
      </c>
      <c r="D50" s="1" t="s">
        <v>0</v>
      </c>
      <c r="E50" s="1">
        <v>-3.4567000000000001</v>
      </c>
      <c r="F50" s="1">
        <v>0.64700000000000002</v>
      </c>
      <c r="G50" s="1">
        <v>-0.53010000000000002</v>
      </c>
      <c r="H50" s="1" t="s">
        <v>1</v>
      </c>
      <c r="I50" s="1">
        <v>355.88979999999998</v>
      </c>
      <c r="J50" s="1">
        <v>130.9024</v>
      </c>
      <c r="K50" s="1">
        <v>1.2433000000000001</v>
      </c>
      <c r="L50" s="1" t="s">
        <v>86</v>
      </c>
      <c r="M50" s="1">
        <v>-0.90910000000000002</v>
      </c>
      <c r="N50" s="1">
        <v>-3.7100000000000001E-2</v>
      </c>
      <c r="O50" s="1">
        <v>-0.4148</v>
      </c>
      <c r="P50" s="1" t="s">
        <v>3</v>
      </c>
      <c r="Q50" s="1">
        <v>-3.4567000000000001</v>
      </c>
      <c r="R50" s="1">
        <v>0.64700000000000002</v>
      </c>
      <c r="S50" s="1">
        <v>-0.53010000000000002</v>
      </c>
      <c r="T50" s="1">
        <v>355.88979999999998</v>
      </c>
      <c r="U50" s="1">
        <v>130.9024</v>
      </c>
      <c r="V50" s="1">
        <v>1.2433000000000001</v>
      </c>
      <c r="W50" s="1" t="s">
        <v>4</v>
      </c>
      <c r="X50" s="1" t="s">
        <v>87</v>
      </c>
      <c r="Y50" s="1">
        <v>-0.90910000000000002</v>
      </c>
      <c r="Z50" s="1">
        <v>-3.7100000000000001E-2</v>
      </c>
      <c r="AA50" s="1">
        <v>-0.4148</v>
      </c>
    </row>
    <row r="51" spans="1:27" x14ac:dyDescent="0.35">
      <c r="A51">
        <v>0</v>
      </c>
      <c r="B51">
        <v>1</v>
      </c>
      <c r="C51">
        <v>104241</v>
      </c>
      <c r="D51" t="s">
        <v>0</v>
      </c>
      <c r="E51">
        <v>0.99919999999999998</v>
      </c>
      <c r="F51">
        <v>-0.74150000000000005</v>
      </c>
      <c r="G51">
        <v>1.5517000000000001</v>
      </c>
      <c r="H51" t="s">
        <v>1</v>
      </c>
      <c r="I51">
        <v>2.7292000000000001</v>
      </c>
      <c r="J51">
        <v>322.49869999999999</v>
      </c>
      <c r="K51">
        <v>356.28719999999998</v>
      </c>
      <c r="L51" t="s">
        <v>88</v>
      </c>
      <c r="M51">
        <v>-0.32050000000000001</v>
      </c>
      <c r="N51">
        <v>-2.3E-2</v>
      </c>
      <c r="O51">
        <v>0.94640000000000002</v>
      </c>
      <c r="P51" t="s">
        <v>3</v>
      </c>
      <c r="Q51">
        <v>-2.9125000000000001</v>
      </c>
      <c r="R51">
        <v>4.0399999999999998E-2</v>
      </c>
      <c r="S51">
        <v>-2.3445</v>
      </c>
      <c r="T51">
        <v>0.22020000000000001</v>
      </c>
      <c r="U51">
        <v>93.535499999999999</v>
      </c>
      <c r="V51">
        <v>359.77319999999997</v>
      </c>
      <c r="W51" t="s">
        <v>4</v>
      </c>
      <c r="X51" t="s">
        <v>14</v>
      </c>
      <c r="Y51">
        <v>-0.72860000000000003</v>
      </c>
      <c r="Z51">
        <v>2.8E-3</v>
      </c>
      <c r="AA51">
        <v>-0.68500000000000005</v>
      </c>
    </row>
    <row r="52" spans="1:27" x14ac:dyDescent="0.35">
      <c r="A52">
        <v>0</v>
      </c>
      <c r="B52">
        <v>2</v>
      </c>
      <c r="C52">
        <v>151588</v>
      </c>
      <c r="D52" t="s">
        <v>0</v>
      </c>
      <c r="E52">
        <v>2.6897000000000002</v>
      </c>
      <c r="F52">
        <v>0.80359999999999998</v>
      </c>
      <c r="G52">
        <v>0.20019999999999999</v>
      </c>
      <c r="H52" t="s">
        <v>1</v>
      </c>
      <c r="I52">
        <v>6.7023999999999999</v>
      </c>
      <c r="J52">
        <v>327.50990000000002</v>
      </c>
      <c r="K52">
        <v>359.33850000000001</v>
      </c>
      <c r="L52" t="s">
        <v>89</v>
      </c>
      <c r="M52">
        <v>-0.27889999999999998</v>
      </c>
      <c r="N52">
        <v>1.0800000000000001E-2</v>
      </c>
      <c r="O52">
        <v>0.95850000000000002</v>
      </c>
      <c r="P52" t="s">
        <v>3</v>
      </c>
      <c r="Q52">
        <v>-2.8757000000000001</v>
      </c>
      <c r="R52">
        <v>0.83260000000000001</v>
      </c>
      <c r="S52">
        <v>-5.0446999999999997</v>
      </c>
      <c r="T52">
        <v>6.7662000000000004</v>
      </c>
      <c r="U52">
        <v>61.009300000000003</v>
      </c>
      <c r="V52">
        <v>359.02670000000001</v>
      </c>
      <c r="W52" t="s">
        <v>4</v>
      </c>
      <c r="X52" t="s">
        <v>90</v>
      </c>
      <c r="Y52">
        <v>-0.5071</v>
      </c>
      <c r="Z52">
        <v>3.73E-2</v>
      </c>
      <c r="AA52">
        <v>-0.85980000000000001</v>
      </c>
    </row>
    <row r="53" spans="1:27" x14ac:dyDescent="0.35">
      <c r="A53">
        <v>0</v>
      </c>
      <c r="B53">
        <v>3</v>
      </c>
      <c r="C53">
        <v>206828</v>
      </c>
      <c r="D53" t="s">
        <v>0</v>
      </c>
      <c r="E53">
        <v>2.0840999999999998</v>
      </c>
      <c r="F53">
        <v>-9.11E-2</v>
      </c>
      <c r="G53">
        <v>3.3519999999999999</v>
      </c>
      <c r="H53" t="s">
        <v>1</v>
      </c>
      <c r="I53">
        <v>0.72560000000000002</v>
      </c>
      <c r="J53">
        <v>263.5222</v>
      </c>
      <c r="K53">
        <v>359.79399999999998</v>
      </c>
      <c r="L53" t="s">
        <v>91</v>
      </c>
      <c r="M53">
        <v>-0.74590000000000001</v>
      </c>
      <c r="N53">
        <v>3.5000000000000001E-3</v>
      </c>
      <c r="O53">
        <v>0.66600000000000004</v>
      </c>
      <c r="P53" t="s">
        <v>3</v>
      </c>
      <c r="Q53">
        <v>1.0321</v>
      </c>
      <c r="R53">
        <v>0.312</v>
      </c>
      <c r="S53">
        <v>-5.26</v>
      </c>
      <c r="T53">
        <v>358.99869999999999</v>
      </c>
      <c r="U53">
        <v>324.60489999999999</v>
      </c>
      <c r="V53">
        <v>353.18</v>
      </c>
      <c r="W53" t="s">
        <v>4</v>
      </c>
      <c r="X53" t="s">
        <v>92</v>
      </c>
      <c r="Y53">
        <v>0.3039</v>
      </c>
      <c r="Z53">
        <v>5.9299999999999999E-2</v>
      </c>
      <c r="AA53">
        <v>-0.95079999999999998</v>
      </c>
    </row>
    <row r="54" spans="1:27" x14ac:dyDescent="0.35">
      <c r="A54">
        <v>0</v>
      </c>
      <c r="B54">
        <v>4</v>
      </c>
      <c r="C54">
        <v>248053</v>
      </c>
      <c r="D54" t="s">
        <v>0</v>
      </c>
      <c r="E54">
        <v>2.1778</v>
      </c>
      <c r="F54">
        <v>0.27760000000000001</v>
      </c>
      <c r="G54">
        <v>1.0163</v>
      </c>
      <c r="H54" t="s">
        <v>1</v>
      </c>
      <c r="I54">
        <v>350.17950000000002</v>
      </c>
      <c r="J54">
        <v>311.24700000000001</v>
      </c>
      <c r="K54">
        <v>359.0369</v>
      </c>
      <c r="L54" t="s">
        <v>93</v>
      </c>
      <c r="M54">
        <v>-0.41189999999999999</v>
      </c>
      <c r="N54">
        <v>-4.2999999999999997E-2</v>
      </c>
      <c r="O54">
        <v>0.90720000000000001</v>
      </c>
      <c r="P54" t="s">
        <v>3</v>
      </c>
      <c r="Q54">
        <v>2.2332999999999998</v>
      </c>
      <c r="R54">
        <v>0.3468</v>
      </c>
      <c r="S54">
        <v>-3.1604000000000001</v>
      </c>
      <c r="T54">
        <v>344.41629999999998</v>
      </c>
      <c r="U54">
        <v>276.6463</v>
      </c>
      <c r="V54">
        <v>355.15910000000002</v>
      </c>
      <c r="W54" t="s">
        <v>4</v>
      </c>
      <c r="X54" t="s">
        <v>94</v>
      </c>
      <c r="Y54">
        <v>0.66249999999999998</v>
      </c>
      <c r="Z54">
        <v>0.12130000000000001</v>
      </c>
      <c r="AA54">
        <v>-0.73550000000000004</v>
      </c>
    </row>
    <row r="55" spans="1:27" x14ac:dyDescent="0.35">
      <c r="A55">
        <v>0</v>
      </c>
      <c r="B55">
        <v>5</v>
      </c>
      <c r="C55">
        <v>322945</v>
      </c>
      <c r="D55" t="s">
        <v>0</v>
      </c>
      <c r="E55">
        <v>2.8692000000000002</v>
      </c>
      <c r="F55">
        <v>-1.0682</v>
      </c>
      <c r="G55">
        <v>2.1949000000000001</v>
      </c>
      <c r="H55" t="s">
        <v>1</v>
      </c>
      <c r="I55">
        <v>356.8005</v>
      </c>
      <c r="J55">
        <v>85.203900000000004</v>
      </c>
      <c r="K55">
        <v>8.4454999999999991</v>
      </c>
      <c r="L55" t="s">
        <v>59</v>
      </c>
      <c r="M55">
        <v>0.67630000000000001</v>
      </c>
      <c r="N55">
        <v>7.2999999999999995E-2</v>
      </c>
      <c r="O55">
        <v>0.73240000000000005</v>
      </c>
      <c r="P55" t="s">
        <v>3</v>
      </c>
      <c r="Q55">
        <v>0.1051</v>
      </c>
      <c r="R55">
        <v>-0.3221</v>
      </c>
      <c r="S55">
        <v>-0.12479999999999999</v>
      </c>
      <c r="T55">
        <v>0.27960000000000002</v>
      </c>
      <c r="U55">
        <v>1.5961000000000001</v>
      </c>
      <c r="V55">
        <v>352.51299999999998</v>
      </c>
      <c r="W55" t="s">
        <v>4</v>
      </c>
      <c r="X55" t="s">
        <v>95</v>
      </c>
      <c r="Y55">
        <v>-1.41E-2</v>
      </c>
      <c r="Z55">
        <v>6.5299999999999997E-2</v>
      </c>
      <c r="AA55">
        <v>-0.99780000000000002</v>
      </c>
    </row>
    <row r="56" spans="1:27" s="1" customFormat="1" x14ac:dyDescent="0.35">
      <c r="A56" s="1">
        <v>0</v>
      </c>
      <c r="B56" s="1">
        <v>0</v>
      </c>
      <c r="C56" s="1">
        <v>54326</v>
      </c>
      <c r="D56" s="1" t="s">
        <v>0</v>
      </c>
      <c r="E56" s="1">
        <v>-3.5038</v>
      </c>
      <c r="F56" s="1">
        <v>0.51959999999999995</v>
      </c>
      <c r="G56" s="1">
        <v>-0.33460000000000001</v>
      </c>
      <c r="H56" s="1" t="s">
        <v>1</v>
      </c>
      <c r="I56" s="1">
        <v>355.46469999999999</v>
      </c>
      <c r="J56" s="1">
        <v>133.6429</v>
      </c>
      <c r="K56" s="1">
        <v>1.1567000000000001</v>
      </c>
      <c r="L56" s="1" t="s">
        <v>96</v>
      </c>
      <c r="M56" s="1">
        <v>-0.91869999999999996</v>
      </c>
      <c r="N56" s="1">
        <v>-4.0300000000000002E-2</v>
      </c>
      <c r="O56" s="1">
        <v>-0.39290000000000003</v>
      </c>
      <c r="P56" s="1" t="s">
        <v>3</v>
      </c>
      <c r="Q56" s="1">
        <v>-3.5038</v>
      </c>
      <c r="R56" s="1">
        <v>0.51959999999999995</v>
      </c>
      <c r="S56" s="1">
        <v>-0.33460000000000001</v>
      </c>
      <c r="T56" s="1">
        <v>355.46469999999999</v>
      </c>
      <c r="U56" s="1">
        <v>133.6429</v>
      </c>
      <c r="V56" s="1">
        <v>1.1567000000000001</v>
      </c>
      <c r="W56" s="1" t="s">
        <v>4</v>
      </c>
      <c r="X56" s="1" t="s">
        <v>97</v>
      </c>
      <c r="Y56" s="1">
        <v>-0.91869999999999996</v>
      </c>
      <c r="Z56" s="1">
        <v>-4.0300000000000002E-2</v>
      </c>
      <c r="AA56" s="1">
        <v>-0.39290000000000003</v>
      </c>
    </row>
    <row r="57" spans="1:27" x14ac:dyDescent="0.35">
      <c r="A57">
        <v>0</v>
      </c>
      <c r="B57">
        <v>1</v>
      </c>
      <c r="C57">
        <v>105241</v>
      </c>
      <c r="D57" t="s">
        <v>0</v>
      </c>
      <c r="E57">
        <v>0.98080000000000001</v>
      </c>
      <c r="F57">
        <v>-0.68879999999999997</v>
      </c>
      <c r="G57">
        <v>1.5873999999999999</v>
      </c>
      <c r="H57" t="s">
        <v>1</v>
      </c>
      <c r="I57">
        <v>2.7078000000000002</v>
      </c>
      <c r="J57">
        <v>322.31630000000001</v>
      </c>
      <c r="K57">
        <v>356.09469999999999</v>
      </c>
      <c r="L57" t="s">
        <v>98</v>
      </c>
      <c r="M57">
        <v>-0.32190000000000002</v>
      </c>
      <c r="N57">
        <v>-2.46E-2</v>
      </c>
      <c r="O57">
        <v>0.94589999999999996</v>
      </c>
      <c r="P57" t="s">
        <v>3</v>
      </c>
      <c r="Q57">
        <v>-3.0068000000000001</v>
      </c>
      <c r="R57">
        <v>-2.1700000000000001E-2</v>
      </c>
      <c r="S57">
        <v>-2.1829999999999998</v>
      </c>
      <c r="T57">
        <v>359.82040000000001</v>
      </c>
      <c r="U57">
        <v>96.086399999999998</v>
      </c>
      <c r="V57">
        <v>359.77929999999998</v>
      </c>
      <c r="W57" t="s">
        <v>4</v>
      </c>
      <c r="X57" t="s">
        <v>99</v>
      </c>
      <c r="Y57">
        <v>-0.74360000000000004</v>
      </c>
      <c r="Z57">
        <v>1E-4</v>
      </c>
      <c r="AA57">
        <v>-0.66859999999999997</v>
      </c>
    </row>
    <row r="58" spans="1:27" x14ac:dyDescent="0.35">
      <c r="A58">
        <v>0</v>
      </c>
      <c r="B58">
        <v>2</v>
      </c>
      <c r="C58">
        <v>150120</v>
      </c>
      <c r="D58" t="s">
        <v>0</v>
      </c>
      <c r="E58">
        <v>2.6796000000000002</v>
      </c>
      <c r="F58">
        <v>0.74580000000000002</v>
      </c>
      <c r="G58">
        <v>0.12709999999999999</v>
      </c>
      <c r="H58" t="s">
        <v>1</v>
      </c>
      <c r="I58">
        <v>0.55679999999999996</v>
      </c>
      <c r="J58">
        <v>327.30700000000002</v>
      </c>
      <c r="K58">
        <v>2.657</v>
      </c>
      <c r="L58" t="s">
        <v>100</v>
      </c>
      <c r="M58">
        <v>-0.28149999999999997</v>
      </c>
      <c r="N58">
        <v>2.3599999999999999E-2</v>
      </c>
      <c r="O58">
        <v>0.95930000000000004</v>
      </c>
      <c r="P58" t="s">
        <v>3</v>
      </c>
      <c r="Q58">
        <v>-3.1671999999999998</v>
      </c>
      <c r="R58">
        <v>0.71409999999999996</v>
      </c>
      <c r="S58">
        <v>-4.8635000000000002</v>
      </c>
      <c r="T58">
        <v>0.28639999999999999</v>
      </c>
      <c r="U58">
        <v>63.392400000000002</v>
      </c>
      <c r="V58">
        <v>2.5682</v>
      </c>
      <c r="W58" t="s">
        <v>4</v>
      </c>
      <c r="X58" t="s">
        <v>101</v>
      </c>
      <c r="Y58">
        <v>-0.5252</v>
      </c>
      <c r="Z58">
        <v>-1.78E-2</v>
      </c>
      <c r="AA58">
        <v>-0.85070000000000001</v>
      </c>
    </row>
    <row r="59" spans="1:27" x14ac:dyDescent="0.35">
      <c r="A59">
        <v>0</v>
      </c>
      <c r="B59">
        <v>3</v>
      </c>
      <c r="C59">
        <v>196044</v>
      </c>
      <c r="D59" t="s">
        <v>0</v>
      </c>
      <c r="E59">
        <v>2.0440999999999998</v>
      </c>
      <c r="F59">
        <v>0.1168</v>
      </c>
      <c r="G59">
        <v>3.3731</v>
      </c>
      <c r="H59" t="s">
        <v>1</v>
      </c>
      <c r="I59">
        <v>0.54069999999999996</v>
      </c>
      <c r="J59">
        <v>263.03410000000002</v>
      </c>
      <c r="K59">
        <v>359.5018</v>
      </c>
      <c r="L59" t="s">
        <v>102</v>
      </c>
      <c r="M59">
        <v>-0.74870000000000003</v>
      </c>
      <c r="N59">
        <v>6.9999999999999999E-4</v>
      </c>
      <c r="O59">
        <v>0.66279999999999994</v>
      </c>
      <c r="P59" t="s">
        <v>3</v>
      </c>
      <c r="Q59">
        <v>0.76180000000000003</v>
      </c>
      <c r="R59">
        <v>0.90549999999999997</v>
      </c>
      <c r="S59">
        <v>-5.1734999999999998</v>
      </c>
      <c r="T59">
        <v>3.0550999999999999</v>
      </c>
      <c r="U59">
        <v>326.40140000000002</v>
      </c>
      <c r="V59">
        <v>358.90539999999999</v>
      </c>
      <c r="W59" t="s">
        <v>4</v>
      </c>
      <c r="X59" t="s">
        <v>103</v>
      </c>
      <c r="Y59">
        <v>0.28870000000000001</v>
      </c>
      <c r="Z59">
        <v>1.4E-3</v>
      </c>
      <c r="AA59">
        <v>-0.95699999999999996</v>
      </c>
    </row>
    <row r="60" spans="1:27" x14ac:dyDescent="0.35">
      <c r="A60">
        <v>0</v>
      </c>
      <c r="B60">
        <v>4</v>
      </c>
      <c r="C60">
        <v>255502</v>
      </c>
      <c r="D60" t="s">
        <v>0</v>
      </c>
      <c r="E60">
        <v>2.1696</v>
      </c>
      <c r="F60">
        <v>0.29659999999999997</v>
      </c>
      <c r="G60">
        <v>1.0196000000000001</v>
      </c>
      <c r="H60" t="s">
        <v>1</v>
      </c>
      <c r="I60">
        <v>350.90910000000002</v>
      </c>
      <c r="J60">
        <v>311.30290000000002</v>
      </c>
      <c r="K60">
        <v>358.63869999999997</v>
      </c>
      <c r="L60" t="s">
        <v>104</v>
      </c>
      <c r="M60">
        <v>-0.4118</v>
      </c>
      <c r="N60">
        <v>-4.3499999999999997E-2</v>
      </c>
      <c r="O60">
        <v>0.90769999999999995</v>
      </c>
      <c r="P60" t="s">
        <v>3</v>
      </c>
      <c r="Q60">
        <v>2.0024000000000002</v>
      </c>
      <c r="R60">
        <v>1.1059000000000001</v>
      </c>
      <c r="S60">
        <v>-3.1105</v>
      </c>
      <c r="T60">
        <v>352.11630000000002</v>
      </c>
      <c r="U60">
        <v>278.18310000000002</v>
      </c>
      <c r="V60">
        <v>355.59300000000002</v>
      </c>
      <c r="W60" t="s">
        <v>4</v>
      </c>
      <c r="X60" t="s">
        <v>105</v>
      </c>
      <c r="Y60">
        <v>0.65480000000000005</v>
      </c>
      <c r="Z60">
        <v>7.3999999999999996E-2</v>
      </c>
      <c r="AA60">
        <v>-0.75170000000000003</v>
      </c>
    </row>
    <row r="61" spans="1:27" x14ac:dyDescent="0.35">
      <c r="A61">
        <v>0</v>
      </c>
      <c r="B61">
        <v>5</v>
      </c>
      <c r="C61">
        <v>307139</v>
      </c>
      <c r="D61" t="s">
        <v>0</v>
      </c>
      <c r="E61">
        <v>2.9255</v>
      </c>
      <c r="F61">
        <v>-0.97750000000000004</v>
      </c>
      <c r="G61">
        <v>2.3075999999999999</v>
      </c>
      <c r="H61" t="s">
        <v>1</v>
      </c>
      <c r="I61">
        <v>359.9624</v>
      </c>
      <c r="J61">
        <v>83.931700000000006</v>
      </c>
      <c r="K61">
        <v>8.2105999999999995</v>
      </c>
      <c r="L61" t="s">
        <v>106</v>
      </c>
      <c r="M61">
        <v>0.66700000000000004</v>
      </c>
      <c r="N61">
        <v>5.3400000000000003E-2</v>
      </c>
      <c r="O61">
        <v>0.74160000000000004</v>
      </c>
      <c r="P61" t="s">
        <v>3</v>
      </c>
      <c r="Q61">
        <v>-1.84E-2</v>
      </c>
      <c r="R61">
        <v>0.23430000000000001</v>
      </c>
      <c r="S61">
        <v>5.11E-2</v>
      </c>
      <c r="T61">
        <v>3.4708000000000001</v>
      </c>
      <c r="U61">
        <v>1.5611999999999999</v>
      </c>
      <c r="V61">
        <v>359.8904</v>
      </c>
      <c r="W61" t="s">
        <v>4</v>
      </c>
      <c r="X61" t="s">
        <v>107</v>
      </c>
      <c r="Y61">
        <v>-1.3599999999999999E-2</v>
      </c>
      <c r="Z61">
        <v>1.4E-3</v>
      </c>
      <c r="AA61">
        <v>-0.99939999999999996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AC75-A383-4DC8-936B-061F6C17252A}">
  <dimension ref="A1:Y34"/>
  <sheetViews>
    <sheetView tabSelected="1" topLeftCell="G1" zoomScale="85" zoomScaleNormal="85" workbookViewId="0">
      <selection activeCell="Y31" sqref="Y31"/>
    </sheetView>
  </sheetViews>
  <sheetFormatPr defaultRowHeight="14.5" x14ac:dyDescent="0.35"/>
  <cols>
    <col min="2" max="4" width="9.26953125" bestFit="1" customWidth="1"/>
    <col min="5" max="5" width="12" bestFit="1" customWidth="1"/>
    <col min="6" max="8" width="9.26953125" bestFit="1" customWidth="1"/>
    <col min="9" max="9" width="12" bestFit="1" customWidth="1"/>
    <col min="10" max="12" width="9.26953125" bestFit="1" customWidth="1"/>
    <col min="13" max="13" width="12" bestFit="1" customWidth="1"/>
    <col min="14" max="16" width="9.26953125" bestFit="1" customWidth="1"/>
    <col min="17" max="17" width="11" bestFit="1" customWidth="1"/>
    <col min="18" max="20" width="9.453125" bestFit="1" customWidth="1"/>
    <col min="21" max="21" width="12" bestFit="1" customWidth="1"/>
    <col min="22" max="24" width="9.453125" bestFit="1" customWidth="1"/>
    <col min="25" max="25" width="12.1796875" bestFit="1" customWidth="1"/>
  </cols>
  <sheetData>
    <row r="1" spans="1:25" x14ac:dyDescent="0.35">
      <c r="B1" t="s">
        <v>109</v>
      </c>
      <c r="J1" t="s">
        <v>112</v>
      </c>
      <c r="R1" t="s">
        <v>113</v>
      </c>
    </row>
    <row r="2" spans="1:25" x14ac:dyDescent="0.35">
      <c r="A2" t="s">
        <v>108</v>
      </c>
      <c r="B2" t="s">
        <v>110</v>
      </c>
      <c r="E2" s="2" t="s">
        <v>126</v>
      </c>
      <c r="F2" t="s">
        <v>111</v>
      </c>
      <c r="I2" s="2" t="s">
        <v>126</v>
      </c>
      <c r="J2" t="s">
        <v>110</v>
      </c>
      <c r="M2" s="2" t="s">
        <v>126</v>
      </c>
      <c r="N2" t="s">
        <v>111</v>
      </c>
      <c r="Q2" s="2" t="s">
        <v>126</v>
      </c>
      <c r="R2" t="s">
        <v>110</v>
      </c>
      <c r="U2" s="2" t="s">
        <v>126</v>
      </c>
      <c r="V2" t="s">
        <v>111</v>
      </c>
      <c r="Y2" s="2" t="s">
        <v>126</v>
      </c>
    </row>
    <row r="3" spans="1:25" x14ac:dyDescent="0.35">
      <c r="A3">
        <v>2</v>
      </c>
      <c r="B3" s="4">
        <v>-2.0000000000000001E-4</v>
      </c>
      <c r="C3" s="4">
        <v>-5.0000000000000001E-4</v>
      </c>
      <c r="D3" s="4">
        <v>-8.0000000000000004E-4</v>
      </c>
      <c r="E3" s="4">
        <f>SQRT((B3^2)+(C3^2)+(D3^2))</f>
        <v>9.643650760992955E-4</v>
      </c>
      <c r="F3" s="4">
        <f>360-359.9631</f>
        <v>3.6900000000002819E-2</v>
      </c>
      <c r="G3" s="4">
        <f>360-359.6505</f>
        <v>0.34949999999997772</v>
      </c>
      <c r="H3" s="4">
        <v>1.37E-2</v>
      </c>
      <c r="I3" s="4">
        <f>SQRT((F3^2)+(G3^2)+(H3^2))</f>
        <v>0.35170946816937504</v>
      </c>
      <c r="J3">
        <v>5.9999999999999995E-4</v>
      </c>
      <c r="K3">
        <v>-1E-4</v>
      </c>
      <c r="L3">
        <v>-1.2999999999999999E-3</v>
      </c>
      <c r="M3">
        <f>SQRT((J3^2)+(K3^2)+(L3^2))</f>
        <v>1.4352700094407323E-3</v>
      </c>
      <c r="N3">
        <f>360-359.9922</f>
        <v>7.799999999974716E-3</v>
      </c>
      <c r="O3">
        <v>0.3654</v>
      </c>
      <c r="P3">
        <f>360-359.9336</f>
        <v>6.6399999999987358E-2</v>
      </c>
      <c r="Q3">
        <f>SQRT((N3^2)+(O3^2)+(P3^2))</f>
        <v>0.37146596075548827</v>
      </c>
      <c r="R3" s="3">
        <v>-5.9999999999999995E-4</v>
      </c>
      <c r="S3" s="3">
        <v>1E-3</v>
      </c>
      <c r="T3" s="3">
        <v>-2E-3</v>
      </c>
      <c r="U3" s="3">
        <f>SQRT((R3^2)+(S3^2)+(T3^2))</f>
        <v>2.3151673805580451E-3</v>
      </c>
      <c r="V3" s="3">
        <v>2.3099999999999999E-2</v>
      </c>
      <c r="W3" s="3">
        <f>360-359.6104</f>
        <v>0.38959999999997308</v>
      </c>
      <c r="X3" s="3">
        <v>8.0399999999999999E-2</v>
      </c>
      <c r="Y3" s="3">
        <f>SQRT((V3^2)+(W3^2)+(X3^2))</f>
        <v>0.39847952268589537</v>
      </c>
    </row>
    <row r="4" spans="1:25" x14ac:dyDescent="0.35">
      <c r="A4">
        <v>3</v>
      </c>
      <c r="B4" s="3">
        <v>-0.1305</v>
      </c>
      <c r="C4" s="3">
        <v>2.3800000000000002E-2</v>
      </c>
      <c r="D4" s="3">
        <v>4.5699999999999998E-2</v>
      </c>
      <c r="E4" s="3">
        <f t="shared" ref="E4:E7" si="0">SQRT((B4^2)+(C4^2)+(D4^2))</f>
        <v>0.14030388447936856</v>
      </c>
      <c r="F4" s="3">
        <v>9.6199999999999994E-2</v>
      </c>
      <c r="G4" s="3">
        <f>360-357.0474</f>
        <v>2.9526000000000181</v>
      </c>
      <c r="H4" s="3">
        <f>360-359.3447</f>
        <v>0.6553000000000111</v>
      </c>
      <c r="I4" s="3">
        <f t="shared" ref="I4:I7" si="1">SQRT((F4^2)+(G4^2)+(H4^2))</f>
        <v>3.0259741059698646</v>
      </c>
      <c r="J4">
        <v>3.5700000000000003E-2</v>
      </c>
      <c r="K4">
        <v>0.1003</v>
      </c>
      <c r="L4">
        <v>-3.5900000000000001E-2</v>
      </c>
      <c r="M4">
        <f t="shared" ref="M4:M7" si="2">SQRT((J4^2)+(K4^2)+(L4^2))</f>
        <v>0.11235386063682903</v>
      </c>
      <c r="N4">
        <f>360-359.838</f>
        <v>0.16199999999997772</v>
      </c>
      <c r="O4">
        <v>4.6300000000000001E-2</v>
      </c>
      <c r="P4">
        <f>360-359.5753</f>
        <v>0.42469999999997299</v>
      </c>
      <c r="Q4">
        <f t="shared" ref="Q4:Q7" si="3">SQRT((N4^2)+(O4^2)+(P4^2))</f>
        <v>0.45690018603626092</v>
      </c>
      <c r="R4" s="4">
        <v>4.2099999999999999E-2</v>
      </c>
      <c r="S4" s="4">
        <v>5.8999999999999997E-2</v>
      </c>
      <c r="T4" s="4">
        <v>-3.3500000000000002E-2</v>
      </c>
      <c r="U4" s="4">
        <f t="shared" ref="U4:U7" si="4">SQRT((R4^2)+(S4^2)+(T4^2))</f>
        <v>7.9847730086709409E-2</v>
      </c>
      <c r="V4" s="4">
        <f>360-359.6955</f>
        <v>0.30450000000001864</v>
      </c>
      <c r="W4" s="4">
        <v>3.4700000000000002E-2</v>
      </c>
      <c r="X4" s="4">
        <v>0.1157</v>
      </c>
      <c r="Y4" s="4">
        <f t="shared" ref="Y4:Y7" si="5">SQRT((V4^2)+(W4^2)+(X4^2))</f>
        <v>0.32758331764607818</v>
      </c>
    </row>
    <row r="5" spans="1:25" x14ac:dyDescent="0.35">
      <c r="A5">
        <v>4</v>
      </c>
      <c r="B5" s="3">
        <v>-1.5445</v>
      </c>
      <c r="C5" s="3">
        <v>-0.1671</v>
      </c>
      <c r="D5" s="3">
        <v>0.13730000000000001</v>
      </c>
      <c r="E5" s="3">
        <f t="shared" si="0"/>
        <v>1.5595685140448303</v>
      </c>
      <c r="F5" s="3">
        <f>360-344.3918</f>
        <v>15.608200000000011</v>
      </c>
      <c r="G5" s="3">
        <f>360-334.4176</f>
        <v>25.582400000000007</v>
      </c>
      <c r="H5" s="3">
        <f>360-347.7436</f>
        <v>12.256399999999985</v>
      </c>
      <c r="I5" s="3">
        <f t="shared" si="1"/>
        <v>32.377375402586303</v>
      </c>
      <c r="J5" s="4">
        <v>1.66E-2</v>
      </c>
      <c r="K5" s="4">
        <v>2.1000000000000001E-2</v>
      </c>
      <c r="L5" s="4">
        <v>-2.6599999999999999E-2</v>
      </c>
      <c r="M5" s="4">
        <f t="shared" si="2"/>
        <v>3.773751449155071E-2</v>
      </c>
      <c r="N5" s="4">
        <v>9.2999999999999992E-3</v>
      </c>
      <c r="O5" s="4">
        <f>360-359.8795</f>
        <v>0.12049999999999272</v>
      </c>
      <c r="P5" s="4">
        <f>360-359.9246</f>
        <v>7.540000000000191E-2</v>
      </c>
      <c r="Q5" s="4">
        <f t="shared" si="3"/>
        <v>0.14244964022418075</v>
      </c>
      <c r="R5">
        <v>1.9E-3</v>
      </c>
      <c r="S5">
        <v>-2.64E-2</v>
      </c>
      <c r="T5">
        <v>-3.8E-3</v>
      </c>
      <c r="U5">
        <f t="shared" si="4"/>
        <v>2.6739670902986071E-2</v>
      </c>
      <c r="V5">
        <f>360-359.653</f>
        <v>0.34699999999997999</v>
      </c>
      <c r="W5">
        <f>360-359.449</f>
        <v>0.55099999999998772</v>
      </c>
      <c r="X5">
        <f>360-359.7564</f>
        <v>0.24360000000001492</v>
      </c>
      <c r="Y5">
        <f t="shared" si="5"/>
        <v>0.69523446404790656</v>
      </c>
    </row>
    <row r="6" spans="1:25" x14ac:dyDescent="0.35">
      <c r="A6">
        <v>5</v>
      </c>
      <c r="B6">
        <v>3.8E-3</v>
      </c>
      <c r="C6">
        <v>3.85E-2</v>
      </c>
      <c r="D6">
        <v>2E-3</v>
      </c>
      <c r="E6">
        <f t="shared" si="0"/>
        <v>3.87387402996019E-2</v>
      </c>
      <c r="F6">
        <f>360-359.1417</f>
        <v>0.85829999999998563</v>
      </c>
      <c r="G6">
        <f>360-359.6932</f>
        <v>0.30680000000000973</v>
      </c>
      <c r="H6">
        <f>360-359.7394</f>
        <v>0.26060000000001082</v>
      </c>
      <c r="I6">
        <f>SQRT((F6^2)+(G6^2)+(H6^2))</f>
        <v>0.94800711495219636</v>
      </c>
      <c r="J6" s="3">
        <v>-1.49E-2</v>
      </c>
      <c r="K6" s="3">
        <v>1.52E-2</v>
      </c>
      <c r="L6" s="3">
        <v>-5.9999999999999995E-4</v>
      </c>
      <c r="M6" s="3">
        <f t="shared" si="2"/>
        <v>2.1293426215618753E-2</v>
      </c>
      <c r="N6" s="3">
        <v>0.34710000000000002</v>
      </c>
      <c r="O6" s="3">
        <f>360-358.7824</f>
        <v>1.2176000000000045</v>
      </c>
      <c r="P6" s="3">
        <v>0.34689999999999999</v>
      </c>
      <c r="Q6" s="3">
        <f t="shared" si="3"/>
        <v>1.3127710310636851</v>
      </c>
      <c r="R6" s="4">
        <v>2.4299999999999999E-2</v>
      </c>
      <c r="S6" s="4">
        <v>6.3E-2</v>
      </c>
      <c r="T6" s="4">
        <v>-2.2800000000000001E-2</v>
      </c>
      <c r="U6" s="4">
        <f t="shared" si="4"/>
        <v>7.1269418406494658E-2</v>
      </c>
      <c r="V6" s="4">
        <f>360-359.8981</f>
        <v>0.10190000000000055</v>
      </c>
      <c r="W6" s="4">
        <f>360-359.3369</f>
        <v>0.66309999999998581</v>
      </c>
      <c r="X6" s="4">
        <f>360-359.7332</f>
        <v>0.26679999999998927</v>
      </c>
      <c r="Y6" s="4">
        <f t="shared" si="5"/>
        <v>0.72198854561549353</v>
      </c>
    </row>
    <row r="7" spans="1:25" x14ac:dyDescent="0.35">
      <c r="A7">
        <v>6</v>
      </c>
      <c r="B7" s="3">
        <v>2.194</v>
      </c>
      <c r="C7" s="3">
        <v>-0.63190000000000002</v>
      </c>
      <c r="D7" s="3">
        <v>0.38619999999999999</v>
      </c>
      <c r="E7" s="3">
        <f t="shared" si="0"/>
        <v>2.3156174230645266</v>
      </c>
      <c r="F7" s="3">
        <v>5.8575999999999997</v>
      </c>
      <c r="G7" s="3">
        <v>26.129000000000001</v>
      </c>
      <c r="H7" s="3">
        <v>2.1755</v>
      </c>
      <c r="I7" s="3">
        <f t="shared" si="1"/>
        <v>26.865757369000413</v>
      </c>
      <c r="J7">
        <v>0.1051</v>
      </c>
      <c r="K7">
        <v>-0.3221</v>
      </c>
      <c r="L7">
        <v>-0.12479999999999999</v>
      </c>
      <c r="M7">
        <f t="shared" si="2"/>
        <v>0.36106711287515508</v>
      </c>
      <c r="N7">
        <v>0.27960000000000002</v>
      </c>
      <c r="O7">
        <v>1.5961000000000001</v>
      </c>
      <c r="P7">
        <f>360-352.513</f>
        <v>7.4870000000000232</v>
      </c>
      <c r="Q7">
        <f t="shared" si="3"/>
        <v>7.6603446639169146</v>
      </c>
      <c r="R7" s="4">
        <v>-1.84E-2</v>
      </c>
      <c r="S7" s="4">
        <v>0.23430000000000001</v>
      </c>
      <c r="T7" s="4">
        <v>5.11E-2</v>
      </c>
      <c r="U7" s="4">
        <f t="shared" si="4"/>
        <v>0.24051249447793768</v>
      </c>
      <c r="V7" s="4">
        <v>3.4708000000000001</v>
      </c>
      <c r="W7" s="4">
        <v>1.5611999999999999</v>
      </c>
      <c r="X7" s="4">
        <f>360-359.8904</f>
        <v>0.10960000000000036</v>
      </c>
      <c r="Y7" s="4">
        <f t="shared" si="5"/>
        <v>3.807336370745301</v>
      </c>
    </row>
    <row r="11" spans="1:25" x14ac:dyDescent="0.35">
      <c r="B11" t="s">
        <v>109</v>
      </c>
      <c r="D11" t="s">
        <v>112</v>
      </c>
      <c r="H11" t="s">
        <v>113</v>
      </c>
      <c r="I11" t="s">
        <v>132</v>
      </c>
    </row>
    <row r="12" spans="1:25" x14ac:dyDescent="0.35">
      <c r="A12" t="s">
        <v>108</v>
      </c>
      <c r="B12" t="s">
        <v>110</v>
      </c>
      <c r="C12" t="s">
        <v>111</v>
      </c>
      <c r="D12" t="s">
        <v>110</v>
      </c>
      <c r="E12" t="s">
        <v>111</v>
      </c>
      <c r="H12" t="s">
        <v>110</v>
      </c>
      <c r="I12" t="s">
        <v>111</v>
      </c>
    </row>
    <row r="13" spans="1:25" x14ac:dyDescent="0.35">
      <c r="B13" s="2" t="s">
        <v>126</v>
      </c>
      <c r="C13" s="2" t="s">
        <v>126</v>
      </c>
      <c r="D13" s="2" t="s">
        <v>126</v>
      </c>
      <c r="E13" s="2" t="s">
        <v>126</v>
      </c>
      <c r="F13" s="2" t="s">
        <v>127</v>
      </c>
      <c r="G13" s="2" t="s">
        <v>128</v>
      </c>
      <c r="H13" s="2" t="s">
        <v>126</v>
      </c>
      <c r="I13" s="2" t="s">
        <v>126</v>
      </c>
    </row>
    <row r="14" spans="1:25" x14ac:dyDescent="0.35">
      <c r="A14">
        <v>2</v>
      </c>
      <c r="B14">
        <v>9.643650760992955E-4</v>
      </c>
      <c r="C14">
        <v>0.35170946816937504</v>
      </c>
      <c r="D14">
        <v>1.4352700094407323E-3</v>
      </c>
      <c r="E14">
        <v>0.37146596075548827</v>
      </c>
      <c r="F14">
        <f>AVERAGE(B14,D14)</f>
        <v>1.199817542770014E-3</v>
      </c>
      <c r="G14">
        <f>AVERAGE(C14,E14)</f>
        <v>0.36158771446243165</v>
      </c>
      <c r="H14">
        <v>2.3151673805580451E-3</v>
      </c>
      <c r="I14">
        <v>0.39847952268589537</v>
      </c>
    </row>
    <row r="15" spans="1:25" x14ac:dyDescent="0.35">
      <c r="A15">
        <v>3</v>
      </c>
      <c r="B15">
        <v>0.11235386063682903</v>
      </c>
      <c r="C15">
        <v>0.45690018603626092</v>
      </c>
      <c r="D15">
        <v>7.9847730086709409E-2</v>
      </c>
      <c r="E15">
        <v>0.32758331764607818</v>
      </c>
      <c r="F15">
        <f>AVERAGE(B15,D15)</f>
        <v>9.6100795361769215E-2</v>
      </c>
      <c r="G15">
        <f>AVERAGE(C15,E15)</f>
        <v>0.39224175184116955</v>
      </c>
      <c r="H15">
        <v>0.14030388447936856</v>
      </c>
      <c r="I15">
        <v>3.0259741059698646</v>
      </c>
    </row>
    <row r="16" spans="1:25" x14ac:dyDescent="0.35">
      <c r="A16">
        <v>4</v>
      </c>
      <c r="B16">
        <v>3.773751449155071E-2</v>
      </c>
      <c r="C16">
        <v>0.14244964022418075</v>
      </c>
      <c r="D16">
        <v>2.6739670902986071E-2</v>
      </c>
      <c r="E16">
        <v>0.69523446404790656</v>
      </c>
      <c r="F16">
        <f>AVERAGE(B16,D16)</f>
        <v>3.2238592697268392E-2</v>
      </c>
      <c r="G16">
        <f>AVERAGE(C16,E16)</f>
        <v>0.41884205213604364</v>
      </c>
      <c r="H16">
        <v>1.5595685140448303</v>
      </c>
      <c r="I16">
        <v>32.377375402586303</v>
      </c>
    </row>
    <row r="17" spans="1:10" x14ac:dyDescent="0.35">
      <c r="A17">
        <v>5</v>
      </c>
      <c r="B17">
        <v>3.87387402996019E-2</v>
      </c>
      <c r="C17">
        <v>0.94800711495219636</v>
      </c>
      <c r="D17">
        <v>7.1269418406494658E-2</v>
      </c>
      <c r="E17">
        <v>0.72198854561549353</v>
      </c>
      <c r="F17">
        <f>AVERAGE(B17,D17)</f>
        <v>5.5004079353048282E-2</v>
      </c>
      <c r="G17">
        <f>AVERAGE(C17,E17)</f>
        <v>0.834997830283845</v>
      </c>
      <c r="H17">
        <v>2.1293426215618753E-2</v>
      </c>
      <c r="I17">
        <v>1.3127710310636851</v>
      </c>
    </row>
    <row r="18" spans="1:10" x14ac:dyDescent="0.35">
      <c r="A18">
        <v>6</v>
      </c>
      <c r="B18">
        <v>0.36106711287515508</v>
      </c>
      <c r="C18">
        <v>7.6603446639169146</v>
      </c>
      <c r="D18">
        <v>0.24051249447793768</v>
      </c>
      <c r="E18">
        <v>3.807336370745301</v>
      </c>
      <c r="F18">
        <f>AVERAGE(B18,D18)</f>
        <v>0.3007898036765464</v>
      </c>
      <c r="G18">
        <f>AVERAGE(C18,E18)</f>
        <v>5.7338405173311076</v>
      </c>
      <c r="H18">
        <v>2.3156174230645266</v>
      </c>
      <c r="I18">
        <v>26.865757369000413</v>
      </c>
    </row>
    <row r="20" spans="1:10" x14ac:dyDescent="0.35">
      <c r="A20" t="s">
        <v>108</v>
      </c>
      <c r="B20" t="s">
        <v>110</v>
      </c>
      <c r="E20" s="2" t="s">
        <v>126</v>
      </c>
      <c r="F20" t="s">
        <v>111</v>
      </c>
      <c r="I20" t="s">
        <v>130</v>
      </c>
      <c r="J20" s="2" t="s">
        <v>129</v>
      </c>
    </row>
    <row r="21" spans="1:10" x14ac:dyDescent="0.35">
      <c r="A21">
        <v>2</v>
      </c>
      <c r="B21" s="4">
        <v>-2.0000000000000001E-4</v>
      </c>
      <c r="C21" s="4">
        <v>-5.0000000000000001E-4</v>
      </c>
      <c r="D21" s="4">
        <v>-8.0000000000000004E-4</v>
      </c>
      <c r="E21" s="4">
        <f>SQRT((B21^2)+(C21^2)+(D21^2))</f>
        <v>9.643650760992955E-4</v>
      </c>
      <c r="F21" s="4">
        <f>360-359.9631</f>
        <v>3.6900000000002819E-2</v>
      </c>
      <c r="G21" s="4">
        <f>360-359.6505</f>
        <v>0.34949999999997772</v>
      </c>
      <c r="H21" s="4">
        <v>1.37E-2</v>
      </c>
      <c r="I21">
        <v>9.643650760992955E-4</v>
      </c>
      <c r="J21" s="4">
        <f>SQRT((F21^2)+(G21^2)+(H21^2))</f>
        <v>0.35170946816937504</v>
      </c>
    </row>
    <row r="22" spans="1:10" x14ac:dyDescent="0.35">
      <c r="A22">
        <v>3</v>
      </c>
      <c r="B22" s="4">
        <v>4.2099999999999999E-2</v>
      </c>
      <c r="C22" s="4">
        <v>5.8999999999999997E-2</v>
      </c>
      <c r="D22" s="4">
        <v>-3.3500000000000002E-2</v>
      </c>
      <c r="E22" s="4">
        <f t="shared" ref="E22:E25" si="6">SQRT((B22^2)+(C22^2)+(D22^2))</f>
        <v>7.9847730086709409E-2</v>
      </c>
      <c r="F22" s="4">
        <f>360-359.6955</f>
        <v>0.30450000000001864</v>
      </c>
      <c r="G22" s="4">
        <v>3.4700000000000002E-2</v>
      </c>
      <c r="H22" s="4">
        <v>0.1157</v>
      </c>
      <c r="I22">
        <v>7.9847730086709409E-2</v>
      </c>
      <c r="J22" s="4">
        <f>SQRT((F22^2)+(G22^2)+(H22^2))</f>
        <v>0.32758331764607818</v>
      </c>
    </row>
    <row r="23" spans="1:10" x14ac:dyDescent="0.35">
      <c r="A23">
        <v>4</v>
      </c>
      <c r="B23" s="4">
        <v>1.66E-2</v>
      </c>
      <c r="C23" s="4">
        <v>2.1000000000000001E-2</v>
      </c>
      <c r="D23" s="4">
        <v>-2.6599999999999999E-2</v>
      </c>
      <c r="E23" s="4">
        <f t="shared" si="6"/>
        <v>3.773751449155071E-2</v>
      </c>
      <c r="F23" s="4">
        <v>9.2999999999999992E-3</v>
      </c>
      <c r="G23" s="4">
        <f>360-359.8795</f>
        <v>0.12049999999999272</v>
      </c>
      <c r="H23" s="4">
        <f>360-359.9246</f>
        <v>7.540000000000191E-2</v>
      </c>
      <c r="I23">
        <v>3.773751449155071E-2</v>
      </c>
      <c r="J23" s="4">
        <f>SQRT((F23^2)+(G23^2)+(H23^2))</f>
        <v>0.14244964022418075</v>
      </c>
    </row>
    <row r="24" spans="1:10" x14ac:dyDescent="0.35">
      <c r="A24">
        <v>5</v>
      </c>
      <c r="B24" s="4">
        <v>2.4299999999999999E-2</v>
      </c>
      <c r="C24" s="4">
        <v>6.3E-2</v>
      </c>
      <c r="D24" s="4">
        <v>-2.2800000000000001E-2</v>
      </c>
      <c r="E24" s="4">
        <f t="shared" si="6"/>
        <v>7.1269418406494658E-2</v>
      </c>
      <c r="F24" s="4">
        <f>360-359.8981</f>
        <v>0.10190000000000055</v>
      </c>
      <c r="G24" s="4">
        <f>360-359.3369</f>
        <v>0.66309999999998581</v>
      </c>
      <c r="H24" s="4">
        <f>360-359.7332</f>
        <v>0.26679999999998927</v>
      </c>
      <c r="I24">
        <v>7.1269418406494658E-2</v>
      </c>
      <c r="J24" s="4">
        <f>SQRT((F24^2)+(G24^2)+(H24^2))</f>
        <v>0.72198854561549353</v>
      </c>
    </row>
    <row r="25" spans="1:10" x14ac:dyDescent="0.35">
      <c r="A25">
        <v>6</v>
      </c>
      <c r="B25" s="4">
        <v>-1.84E-2</v>
      </c>
      <c r="C25" s="4">
        <v>0.23430000000000001</v>
      </c>
      <c r="D25" s="4">
        <v>5.11E-2</v>
      </c>
      <c r="E25" s="4">
        <f t="shared" si="6"/>
        <v>0.24051249447793768</v>
      </c>
      <c r="F25" s="4">
        <v>3.4708000000000001</v>
      </c>
      <c r="G25" s="4">
        <v>1.5611999999999999</v>
      </c>
      <c r="H25" s="4">
        <f>360-359.8904</f>
        <v>0.10960000000000036</v>
      </c>
      <c r="I25">
        <v>0.24051249447793768</v>
      </c>
      <c r="J25" s="4">
        <f>SQRT((F25^2)+(G25^2)+(H25^2))</f>
        <v>3.807336370745301</v>
      </c>
    </row>
    <row r="28" spans="1:10" x14ac:dyDescent="0.35">
      <c r="B28" t="s">
        <v>131</v>
      </c>
    </row>
    <row r="29" spans="1:10" x14ac:dyDescent="0.35">
      <c r="A29" t="s">
        <v>108</v>
      </c>
      <c r="B29">
        <v>0.23388999999999999</v>
      </c>
      <c r="C29">
        <v>0.22916</v>
      </c>
      <c r="D29">
        <v>0.16364000000000001</v>
      </c>
      <c r="E29">
        <v>1.9529999999999999E-2</v>
      </c>
      <c r="F29">
        <v>9.1859999999999997E-2</v>
      </c>
      <c r="G29">
        <v>9.017E-2</v>
      </c>
    </row>
    <row r="30" spans="1:10" x14ac:dyDescent="0.35">
      <c r="A30">
        <v>2</v>
      </c>
      <c r="B30">
        <f>$A30*B$29</f>
        <v>0.46777999999999997</v>
      </c>
      <c r="C30">
        <f t="shared" ref="C30:G34" si="7">$A30*C$29</f>
        <v>0.45832000000000001</v>
      </c>
      <c r="D30">
        <f t="shared" si="7"/>
        <v>0.32728000000000002</v>
      </c>
      <c r="E30">
        <f t="shared" si="7"/>
        <v>3.9059999999999997E-2</v>
      </c>
      <c r="F30">
        <f t="shared" si="7"/>
        <v>0.18371999999999999</v>
      </c>
      <c r="G30">
        <f t="shared" si="7"/>
        <v>0.18034</v>
      </c>
    </row>
    <row r="31" spans="1:10" x14ac:dyDescent="0.35">
      <c r="A31">
        <v>3</v>
      </c>
      <c r="B31">
        <f t="shared" ref="B31:B34" si="8">$A31*B$29</f>
        <v>0.70167000000000002</v>
      </c>
      <c r="C31">
        <f t="shared" si="7"/>
        <v>0.68747999999999998</v>
      </c>
      <c r="D31">
        <f t="shared" si="7"/>
        <v>0.49092000000000002</v>
      </c>
      <c r="E31">
        <f t="shared" si="7"/>
        <v>5.8589999999999996E-2</v>
      </c>
      <c r="F31">
        <f t="shared" si="7"/>
        <v>0.27557999999999999</v>
      </c>
      <c r="G31">
        <f t="shared" si="7"/>
        <v>0.27051000000000003</v>
      </c>
    </row>
    <row r="32" spans="1:10" x14ac:dyDescent="0.35">
      <c r="A32">
        <v>4</v>
      </c>
      <c r="B32">
        <f t="shared" si="8"/>
        <v>0.93555999999999995</v>
      </c>
      <c r="C32">
        <f t="shared" si="7"/>
        <v>0.91664000000000001</v>
      </c>
      <c r="D32">
        <f t="shared" si="7"/>
        <v>0.65456000000000003</v>
      </c>
      <c r="E32">
        <f t="shared" si="7"/>
        <v>7.8119999999999995E-2</v>
      </c>
      <c r="F32">
        <f t="shared" si="7"/>
        <v>0.36743999999999999</v>
      </c>
      <c r="G32">
        <f t="shared" si="7"/>
        <v>0.36068</v>
      </c>
    </row>
    <row r="33" spans="1:7" x14ac:dyDescent="0.35">
      <c r="A33">
        <v>5</v>
      </c>
      <c r="B33">
        <f t="shared" si="8"/>
        <v>1.1694499999999999</v>
      </c>
      <c r="C33">
        <f t="shared" si="7"/>
        <v>1.1457999999999999</v>
      </c>
      <c r="D33">
        <f t="shared" si="7"/>
        <v>0.81820000000000004</v>
      </c>
      <c r="E33">
        <f t="shared" si="7"/>
        <v>9.7649999999999987E-2</v>
      </c>
      <c r="F33">
        <f t="shared" si="7"/>
        <v>0.45929999999999999</v>
      </c>
      <c r="G33">
        <f t="shared" si="7"/>
        <v>0.45084999999999997</v>
      </c>
    </row>
    <row r="34" spans="1:7" x14ac:dyDescent="0.35">
      <c r="A34">
        <v>6</v>
      </c>
      <c r="B34">
        <f t="shared" si="8"/>
        <v>1.40334</v>
      </c>
      <c r="C34">
        <f t="shared" si="7"/>
        <v>1.37496</v>
      </c>
      <c r="D34">
        <f t="shared" si="7"/>
        <v>0.98184000000000005</v>
      </c>
      <c r="E34">
        <f t="shared" si="7"/>
        <v>0.11717999999999999</v>
      </c>
      <c r="F34">
        <f t="shared" si="7"/>
        <v>0.55115999999999998</v>
      </c>
      <c r="G34">
        <f t="shared" si="7"/>
        <v>0.54102000000000006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goodDataAnalysis</vt:lpstr>
      <vt:lpstr>FirstFinalOffset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Kent</cp:lastModifiedBy>
  <dcterms:created xsi:type="dcterms:W3CDTF">2024-12-16T01:09:36Z</dcterms:created>
  <dcterms:modified xsi:type="dcterms:W3CDTF">2024-12-24T07:42:29Z</dcterms:modified>
</cp:coreProperties>
</file>